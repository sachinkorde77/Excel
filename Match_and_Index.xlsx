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6ef1a70d1ca2329/Desktop/Sachin/"/>
    </mc:Choice>
  </mc:AlternateContent>
  <xr:revisionPtr revIDLastSave="0" documentId="8_{CA5F5560-6A03-4F61-B1B7-A1DECC3F47AE}" xr6:coauthVersionLast="47" xr6:coauthVersionMax="47" xr10:uidLastSave="{00000000-0000-0000-0000-000000000000}"/>
  <bookViews>
    <workbookView xWindow="0" yWindow="0" windowWidth="11520" windowHeight="12360" xr2:uid="{43F1849E-6F65-4D7A-88A2-238098D3C9E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 a="1"/>
  <c r="B18" i="1" s="1"/>
  <c r="L5" i="1"/>
  <c r="L6" i="1"/>
  <c r="L7" i="1"/>
  <c r="L8" i="1"/>
  <c r="L9" i="1"/>
  <c r="L10" i="1"/>
  <c r="L11" i="1"/>
  <c r="L12" i="1"/>
  <c r="L13" i="1"/>
  <c r="L14" i="1"/>
  <c r="L15" i="1"/>
  <c r="K5" i="1" a="1"/>
  <c r="K5" i="1"/>
  <c r="K6" i="1" a="1"/>
  <c r="K6" i="1"/>
  <c r="K7" i="1" a="1"/>
  <c r="K7" i="1"/>
  <c r="K8" i="1" a="1"/>
  <c r="K8" i="1"/>
  <c r="K9" i="1" a="1"/>
  <c r="K9" i="1"/>
  <c r="K10" i="1" a="1"/>
  <c r="K10" i="1"/>
  <c r="K11" i="1" a="1"/>
  <c r="K11" i="1"/>
  <c r="K12" i="1" a="1"/>
  <c r="K12" i="1"/>
  <c r="K13" i="1" a="1"/>
  <c r="K13" i="1"/>
  <c r="K14" i="1" a="1"/>
  <c r="K14" i="1"/>
  <c r="K15" i="1" a="1"/>
  <c r="K15" i="1"/>
  <c r="K4" i="1" a="1"/>
  <c r="K4" i="1"/>
  <c r="L4" i="1"/>
  <c r="C13" i="1"/>
  <c r="D18" i="1" l="1"/>
  <c r="C18" i="1"/>
  <c r="E18" i="1"/>
</calcChain>
</file>

<file path=xl/sharedStrings.xml><?xml version="1.0" encoding="utf-8"?>
<sst xmlns="http://schemas.openxmlformats.org/spreadsheetml/2006/main" count="75" uniqueCount="32">
  <si>
    <t>Product</t>
  </si>
  <si>
    <t>Region</t>
  </si>
  <si>
    <t>East</t>
  </si>
  <si>
    <t>West</t>
  </si>
  <si>
    <t>Product ID</t>
  </si>
  <si>
    <t>Samsung TV</t>
  </si>
  <si>
    <t>I Phone</t>
  </si>
  <si>
    <t>Macbook</t>
  </si>
  <si>
    <t>Tablet</t>
  </si>
  <si>
    <t>Dell Laptop</t>
  </si>
  <si>
    <t>Unit Price</t>
  </si>
  <si>
    <t>Price Table</t>
  </si>
  <si>
    <t>Customer Name</t>
  </si>
  <si>
    <t>Qty</t>
  </si>
  <si>
    <t>Total Sales</t>
  </si>
  <si>
    <t>Sales Table</t>
  </si>
  <si>
    <t>Alok</t>
  </si>
  <si>
    <t>Radha</t>
  </si>
  <si>
    <t>Danish</t>
  </si>
  <si>
    <t>Kamlesh</t>
  </si>
  <si>
    <t>Vijay</t>
  </si>
  <si>
    <t>Laxman</t>
  </si>
  <si>
    <t>Harish</t>
  </si>
  <si>
    <t>Shweta</t>
  </si>
  <si>
    <t>Nitish</t>
  </si>
  <si>
    <t>Modi</t>
  </si>
  <si>
    <t>Vishal</t>
  </si>
  <si>
    <t>Ayan</t>
  </si>
  <si>
    <t>Case-1</t>
  </si>
  <si>
    <t>Case-2</t>
  </si>
  <si>
    <t>Case-3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</si>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</sst>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.0_ ;_ * \-#,##0.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3" fillId="2" borderId="0" xfId="0" applyFont="1" applyFill="1"/>
    <xf numFmtId="0" fontId="6" fillId="0" borderId="0" xfId="0" applyFont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1834E-646E-4B50-BA8C-5C73311040DA}">
  <dimension ref="A1:M18"/>
  <sheetViews>
    <sheetView tabSelected="1" topLeftCell="C4" zoomScale="130" zoomScaleNormal="130" workbookViewId="0">
      <selection activeCell="F22" sqref="F22"/>
    </sheetView>
  </sheetViews>
  <sheetFormatPr defaultRowHeight="14.4" x14ac:dyDescent="0.3"/>
  <cols>
    <col min="1" max="1" width="9.77734375" customWidth="1"/>
    <col min="2" max="2" width="11.5546875" customWidth="1"/>
    <col min="3" max="3" width="11.21875" customWidth="1"/>
    <col min="4" max="4" width="11" customWidth="1"/>
    <col min="5" max="5" width="9.5546875" customWidth="1"/>
    <col min="6" max="6" width="8.88671875" customWidth="1"/>
    <col min="7" max="7" width="12.44140625" customWidth="1"/>
    <col min="8" max="8" width="10.88671875" customWidth="1"/>
    <col min="9" max="9" width="14.109375" customWidth="1"/>
    <col min="10" max="10" width="6.21875" customWidth="1"/>
    <col min="11" max="11" width="11.5546875" customWidth="1"/>
    <col min="12" max="12" width="13.44140625" customWidth="1"/>
  </cols>
  <sheetData>
    <row r="1" spans="1:13" x14ac:dyDescent="0.3">
      <c r="A1" s="12" t="s">
        <v>11</v>
      </c>
      <c r="B1" s="12"/>
      <c r="C1" s="12"/>
      <c r="D1" s="12"/>
      <c r="F1" s="10" t="s">
        <v>15</v>
      </c>
      <c r="G1" s="10"/>
      <c r="H1" s="10"/>
      <c r="I1" s="10"/>
      <c r="J1" s="10"/>
      <c r="K1" s="10"/>
      <c r="L1" s="10"/>
    </row>
    <row r="2" spans="1:13" x14ac:dyDescent="0.3">
      <c r="A2" s="13"/>
      <c r="B2" s="13"/>
      <c r="C2" s="13"/>
      <c r="D2" s="13"/>
      <c r="F2" s="11"/>
      <c r="G2" s="11"/>
      <c r="H2" s="11"/>
      <c r="I2" s="11"/>
      <c r="J2" s="11"/>
      <c r="K2" s="11"/>
      <c r="L2" s="11"/>
    </row>
    <row r="3" spans="1:13" ht="22.8" customHeight="1" x14ac:dyDescent="0.3">
      <c r="A3" s="1" t="s">
        <v>4</v>
      </c>
      <c r="B3" s="1" t="s">
        <v>0</v>
      </c>
      <c r="C3" s="1" t="s">
        <v>1</v>
      </c>
      <c r="D3" s="1" t="s">
        <v>10</v>
      </c>
      <c r="F3" s="6" t="s">
        <v>4</v>
      </c>
      <c r="G3" s="6" t="s">
        <v>0</v>
      </c>
      <c r="H3" s="6" t="s">
        <v>1</v>
      </c>
      <c r="I3" s="6" t="s">
        <v>12</v>
      </c>
      <c r="J3" s="6" t="s">
        <v>13</v>
      </c>
      <c r="K3" s="6" t="s">
        <v>10</v>
      </c>
      <c r="L3" s="6" t="s">
        <v>14</v>
      </c>
    </row>
    <row r="4" spans="1:13" x14ac:dyDescent="0.3">
      <c r="A4" s="2">
        <v>1</v>
      </c>
      <c r="B4" s="2" t="s">
        <v>5</v>
      </c>
      <c r="C4" s="2" t="s">
        <v>2</v>
      </c>
      <c r="D4" s="3">
        <v>120000</v>
      </c>
      <c r="E4" s="7" t="s">
        <v>28</v>
      </c>
      <c r="F4" s="2">
        <v>1</v>
      </c>
      <c r="G4" s="2" t="s">
        <v>5</v>
      </c>
      <c r="H4" s="2" t="s">
        <v>2</v>
      </c>
      <c r="I4" s="4" t="s">
        <v>16</v>
      </c>
      <c r="J4" s="5">
        <v>2</v>
      </c>
      <c r="K4" s="3">
        <f t="array" ref="K4">INDEX($A$3:$D$10,MATCH(1,($B$3:$B$10=G4)*($C$3:$C$10=H4),0),4)</f>
        <v>120000</v>
      </c>
      <c r="L4" s="3">
        <f>J4*K4</f>
        <v>240000</v>
      </c>
    </row>
    <row r="5" spans="1:13" x14ac:dyDescent="0.3">
      <c r="A5" s="2">
        <v>2</v>
      </c>
      <c r="B5" s="2" t="s">
        <v>6</v>
      </c>
      <c r="C5" s="2" t="s">
        <v>3</v>
      </c>
      <c r="D5" s="3">
        <v>145000</v>
      </c>
      <c r="F5" s="2">
        <v>2</v>
      </c>
      <c r="G5" s="2" t="s">
        <v>6</v>
      </c>
      <c r="H5" s="2" t="s">
        <v>3</v>
      </c>
      <c r="I5" s="4" t="s">
        <v>17</v>
      </c>
      <c r="J5" s="5">
        <v>3</v>
      </c>
      <c r="K5" s="3">
        <f t="array" ref="K5">INDEX($A$3:$D$10,MATCH(1,($B$3:$B$10=G5)*($C$3:$C$10=H5),0),4)</f>
        <v>145000</v>
      </c>
      <c r="L5" s="3">
        <f t="shared" ref="L5:L15" si="0">J5*K5</f>
        <v>435000</v>
      </c>
    </row>
    <row r="6" spans="1:13" x14ac:dyDescent="0.3">
      <c r="A6" s="2">
        <v>3</v>
      </c>
      <c r="B6" s="2" t="s">
        <v>7</v>
      </c>
      <c r="C6" s="2" t="s">
        <v>2</v>
      </c>
      <c r="D6" s="3">
        <v>85000</v>
      </c>
      <c r="F6" s="2">
        <v>3</v>
      </c>
      <c r="G6" s="2" t="s">
        <v>7</v>
      </c>
      <c r="H6" s="2" t="s">
        <v>2</v>
      </c>
      <c r="I6" s="4" t="s">
        <v>18</v>
      </c>
      <c r="J6" s="5">
        <v>1</v>
      </c>
      <c r="K6" s="3">
        <f t="array" ref="K6">INDEX($A$3:$D$10,MATCH(1,($B$3:$B$10=G6)*($C$3:$C$10=H6),0),4)</f>
        <v>85000</v>
      </c>
      <c r="L6" s="3">
        <f t="shared" si="0"/>
        <v>85000</v>
      </c>
    </row>
    <row r="7" spans="1:13" x14ac:dyDescent="0.3">
      <c r="A7" s="2">
        <v>1</v>
      </c>
      <c r="B7" s="2" t="s">
        <v>5</v>
      </c>
      <c r="C7" s="2" t="s">
        <v>3</v>
      </c>
      <c r="D7" s="3">
        <v>205000</v>
      </c>
      <c r="F7" s="2">
        <v>1</v>
      </c>
      <c r="G7" s="2" t="s">
        <v>5</v>
      </c>
      <c r="H7" s="2" t="s">
        <v>3</v>
      </c>
      <c r="I7" s="4" t="s">
        <v>19</v>
      </c>
      <c r="J7" s="5">
        <v>5</v>
      </c>
      <c r="K7" s="3">
        <f t="array" ref="K7">INDEX($A$3:$D$10,MATCH(1,($B$3:$B$10=G7)*($C$3:$C$10=H7),0),4)</f>
        <v>205000</v>
      </c>
      <c r="L7" s="3">
        <f t="shared" si="0"/>
        <v>1025000</v>
      </c>
    </row>
    <row r="8" spans="1:13" x14ac:dyDescent="0.3">
      <c r="A8" s="2">
        <v>2</v>
      </c>
      <c r="B8" s="2" t="s">
        <v>6</v>
      </c>
      <c r="C8" s="2" t="s">
        <v>2</v>
      </c>
      <c r="D8" s="3">
        <v>114000</v>
      </c>
      <c r="F8" s="2">
        <v>2</v>
      </c>
      <c r="G8" s="2" t="s">
        <v>6</v>
      </c>
      <c r="H8" s="2" t="s">
        <v>2</v>
      </c>
      <c r="I8" s="4" t="s">
        <v>20</v>
      </c>
      <c r="J8" s="5">
        <v>2</v>
      </c>
      <c r="K8" s="3">
        <f t="array" ref="K8">INDEX($A$3:$D$10,MATCH(1,($B$3:$B$10=G8)*($C$3:$C$10=H8),0),4)</f>
        <v>114000</v>
      </c>
      <c r="L8" s="3">
        <f t="shared" si="0"/>
        <v>228000</v>
      </c>
    </row>
    <row r="9" spans="1:13" x14ac:dyDescent="0.3">
      <c r="A9" s="2">
        <v>4</v>
      </c>
      <c r="B9" s="2" t="s">
        <v>8</v>
      </c>
      <c r="C9" s="2" t="s">
        <v>3</v>
      </c>
      <c r="D9" s="3">
        <v>65000</v>
      </c>
      <c r="F9" s="2">
        <v>4</v>
      </c>
      <c r="G9" s="2" t="s">
        <v>8</v>
      </c>
      <c r="H9" s="2" t="s">
        <v>3</v>
      </c>
      <c r="I9" s="4" t="s">
        <v>21</v>
      </c>
      <c r="J9" s="5">
        <v>1</v>
      </c>
      <c r="K9" s="3">
        <f t="array" ref="K9">INDEX($A$3:$D$10,MATCH(1,($B$3:$B$10=G9)*($C$3:$C$10=H9),0),4)</f>
        <v>65000</v>
      </c>
      <c r="L9" s="3">
        <f t="shared" si="0"/>
        <v>65000</v>
      </c>
    </row>
    <row r="10" spans="1:13" x14ac:dyDescent="0.3">
      <c r="A10" s="2">
        <v>5</v>
      </c>
      <c r="B10" s="2" t="s">
        <v>9</v>
      </c>
      <c r="C10" s="2" t="s">
        <v>2</v>
      </c>
      <c r="D10" s="3">
        <v>98000</v>
      </c>
      <c r="F10" s="2">
        <v>5</v>
      </c>
      <c r="G10" s="2" t="s">
        <v>9</v>
      </c>
      <c r="H10" s="2" t="s">
        <v>2</v>
      </c>
      <c r="I10" s="5" t="s">
        <v>22</v>
      </c>
      <c r="J10" s="5">
        <v>3</v>
      </c>
      <c r="K10" s="3">
        <f t="array" ref="K10">INDEX($A$3:$D$10,MATCH(1,($B$3:$B$10=G10)*($C$3:$C$10=H10),0),4)</f>
        <v>98000</v>
      </c>
      <c r="L10" s="3">
        <f t="shared" si="0"/>
        <v>294000</v>
      </c>
      <c r="M10" t="s">
        <v>31</v>
      </c>
    </row>
    <row r="11" spans="1:13" x14ac:dyDescent="0.3">
      <c r="F11" s="2">
        <v>1</v>
      </c>
      <c r="G11" s="2" t="s">
        <v>5</v>
      </c>
      <c r="H11" s="2" t="s">
        <v>2</v>
      </c>
      <c r="I11" s="5" t="s">
        <v>23</v>
      </c>
      <c r="J11" s="5">
        <v>6</v>
      </c>
      <c r="K11" s="3">
        <f t="array" ref="K11">INDEX($A$3:$D$10,MATCH(1,($B$3:$B$10=G11)*($C$3:$C$10=H11),0),4)</f>
        <v>120000</v>
      </c>
      <c r="L11" s="3">
        <f t="shared" si="0"/>
        <v>720000</v>
      </c>
    </row>
    <row r="12" spans="1:13" x14ac:dyDescent="0.3">
      <c r="A12" s="7" t="s">
        <v>29</v>
      </c>
      <c r="B12" s="1" t="s">
        <v>4</v>
      </c>
      <c r="C12" s="8" t="s">
        <v>10</v>
      </c>
      <c r="F12" s="2">
        <v>2</v>
      </c>
      <c r="G12" s="2" t="s">
        <v>6</v>
      </c>
      <c r="H12" s="2" t="s">
        <v>3</v>
      </c>
      <c r="I12" s="5" t="s">
        <v>24</v>
      </c>
      <c r="J12" s="5">
        <v>1</v>
      </c>
      <c r="K12" s="3">
        <f t="array" ref="K12">INDEX($A$3:$D$10,MATCH(1,($B$3:$B$10=G12)*($C$3:$C$10=H12),0),4)</f>
        <v>145000</v>
      </c>
      <c r="L12" s="3">
        <f t="shared" si="0"/>
        <v>145000</v>
      </c>
    </row>
    <row r="13" spans="1:13" x14ac:dyDescent="0.3">
      <c r="B13">
        <v>5</v>
      </c>
      <c r="C13">
        <f>INDEX(A3:D10,MATCH(B13,A3:A10,0),MATCH(C12,A3:D3,0))</f>
        <v>98000</v>
      </c>
      <c r="F13" s="2">
        <v>1</v>
      </c>
      <c r="G13" s="2" t="s">
        <v>5</v>
      </c>
      <c r="H13" s="2" t="s">
        <v>3</v>
      </c>
      <c r="I13" s="5" t="s">
        <v>25</v>
      </c>
      <c r="J13" s="5">
        <v>2</v>
      </c>
      <c r="K13" s="3">
        <f t="array" ref="K13">INDEX($A$3:$D$10,MATCH(1,($B$3:$B$10=G13)*($C$3:$C$10=H13),0),4)</f>
        <v>205000</v>
      </c>
      <c r="L13" s="3">
        <f t="shared" si="0"/>
        <v>410000</v>
      </c>
    </row>
    <row r="14" spans="1:13" x14ac:dyDescent="0.3">
      <c r="F14" s="2">
        <v>2</v>
      </c>
      <c r="G14" s="2" t="s">
        <v>6</v>
      </c>
      <c r="H14" s="2" t="s">
        <v>2</v>
      </c>
      <c r="I14" s="5" t="s">
        <v>26</v>
      </c>
      <c r="J14" s="5">
        <v>4</v>
      </c>
      <c r="K14" s="3">
        <f t="array" ref="K14">INDEX($A$3:$D$10,MATCH(1,($B$3:$B$10=G14)*($C$3:$C$10=H14),0),4)</f>
        <v>114000</v>
      </c>
      <c r="L14" s="3">
        <f t="shared" si="0"/>
        <v>456000</v>
      </c>
    </row>
    <row r="15" spans="1:13" x14ac:dyDescent="0.3">
      <c r="B15" s="8" t="s">
        <v>0</v>
      </c>
      <c r="F15" s="2">
        <v>3</v>
      </c>
      <c r="G15" s="2" t="s">
        <v>7</v>
      </c>
      <c r="H15" s="2" t="s">
        <v>2</v>
      </c>
      <c r="I15" s="5" t="s">
        <v>27</v>
      </c>
      <c r="J15" s="5">
        <v>1</v>
      </c>
      <c r="K15" s="3">
        <f t="array" ref="K15">INDEX($A$3:$D$10,MATCH(1,($B$3:$B$10=G15)*($C$3:$C$10=H15),0),4)</f>
        <v>85000</v>
      </c>
      <c r="L15" s="3">
        <f t="shared" si="0"/>
        <v>85000</v>
      </c>
    </row>
    <row r="16" spans="1:13" x14ac:dyDescent="0.3">
      <c r="A16" s="7" t="s">
        <v>30</v>
      </c>
      <c r="B16" s="2" t="s">
        <v>9</v>
      </c>
    </row>
    <row r="17" spans="2:7" ht="18" customHeight="1" x14ac:dyDescent="0.3">
      <c r="B17" s="14" t="s">
        <v>4</v>
      </c>
      <c r="C17" s="14" t="s">
        <v>0</v>
      </c>
      <c r="D17" s="14" t="s">
        <v>1</v>
      </c>
      <c r="E17" s="14" t="s">
        <v>10</v>
      </c>
      <c r="F17" s="9"/>
      <c r="G17" s="9"/>
    </row>
    <row r="18" spans="2:7" x14ac:dyDescent="0.3">
      <c r="B18">
        <f t="array" ref="B18:E18">INDEX($A$3:$D$10,MATCH($B$16,$B$3:$B$10,0),)</f>
        <v>5</v>
      </c>
      <c r="C18" t="str">
        <v>Dell Laptop</v>
      </c>
      <c r="D18" t="str">
        <v>East</v>
      </c>
      <c r="E18">
        <v>98000</v>
      </c>
    </row>
  </sheetData>
  <mergeCells count="2">
    <mergeCell ref="A1:D2"/>
    <mergeCell ref="F1:L2"/>
  </mergeCells>
  <dataValidations count="1">
    <dataValidation type="list" allowBlank="1" showInputMessage="1" showErrorMessage="1" sqref="C12" xr:uid="{316E39E5-5665-420C-983B-C114CA994004}">
      <formula1>$A$3:$D$3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A6C25-CB7D-4446-9CE2-8BAC4E37560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 Kumar Nishant</dc:creator>
  <cp:lastModifiedBy>shubham gawade</cp:lastModifiedBy>
  <dcterms:created xsi:type="dcterms:W3CDTF">2025-11-27T16:23:50Z</dcterms:created>
  <dcterms:modified xsi:type="dcterms:W3CDTF">2025-11-30T08:10:43Z</dcterms:modified>
</cp:coreProperties>
</file>