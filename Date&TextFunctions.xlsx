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1" documentId="8_{F6BDE5FC-C227-4621-9085-4E137E7B3528}" xr6:coauthVersionLast="47" xr6:coauthVersionMax="47" xr10:uidLastSave="{0D9479AD-B326-4C6F-BDC7-3F5030538F09}"/>
  <bookViews>
    <workbookView xWindow="11520" yWindow="0" windowWidth="11520" windowHeight="12360" xr2:uid="{5F1918F6-9F34-4253-9E60-98F6DF3DA090}"/>
  </bookViews>
  <sheets>
    <sheet name="Dates" sheetId="2" r:id="rId1"/>
    <sheet name="DATE&amp;TIME" sheetId="5" r:id="rId2"/>
    <sheet name="Text Function" sheetId="8" r:id="rId3"/>
    <sheet name="Meta Data" sheetId="9" r:id="rId4"/>
  </sheets>
  <definedNames>
    <definedName name="_xlnm._FilterDatabase" localSheetId="2" hidden="1">'Text Function'!$A$3:$Z$3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H36" i="8"/>
  <c r="H84" i="8"/>
  <c r="F20" i="8"/>
  <c r="F32" i="8"/>
  <c r="F52" i="8"/>
  <c r="F96" i="8"/>
  <c r="E5" i="8"/>
  <c r="E6" i="8"/>
  <c r="E7" i="8"/>
  <c r="H7" i="8" s="1"/>
  <c r="E8" i="8"/>
  <c r="G8" i="8" s="1"/>
  <c r="E9" i="8"/>
  <c r="E10" i="8"/>
  <c r="E11" i="8"/>
  <c r="F11" i="8" s="1"/>
  <c r="E12" i="8"/>
  <c r="G12" i="8" s="1"/>
  <c r="E13" i="8"/>
  <c r="E14" i="8"/>
  <c r="E15" i="8"/>
  <c r="H15" i="8" s="1"/>
  <c r="E16" i="8"/>
  <c r="G16" i="8" s="1"/>
  <c r="E17" i="8"/>
  <c r="E18" i="8"/>
  <c r="E19" i="8"/>
  <c r="F19" i="8" s="1"/>
  <c r="E20" i="8"/>
  <c r="G20" i="8" s="1"/>
  <c r="E21" i="8"/>
  <c r="E22" i="8"/>
  <c r="E23" i="8"/>
  <c r="H23" i="8" s="1"/>
  <c r="E24" i="8"/>
  <c r="G24" i="8" s="1"/>
  <c r="E25" i="8"/>
  <c r="E26" i="8"/>
  <c r="E27" i="8"/>
  <c r="F27" i="8" s="1"/>
  <c r="E28" i="8"/>
  <c r="G28" i="8" s="1"/>
  <c r="E29" i="8"/>
  <c r="E30" i="8"/>
  <c r="E31" i="8"/>
  <c r="H31" i="8" s="1"/>
  <c r="E32" i="8"/>
  <c r="G32" i="8" s="1"/>
  <c r="E33" i="8"/>
  <c r="E34" i="8"/>
  <c r="E35" i="8"/>
  <c r="F35" i="8" s="1"/>
  <c r="E36" i="8"/>
  <c r="G36" i="8" s="1"/>
  <c r="E37" i="8"/>
  <c r="E38" i="8"/>
  <c r="E39" i="8"/>
  <c r="H39" i="8" s="1"/>
  <c r="E40" i="8"/>
  <c r="G40" i="8" s="1"/>
  <c r="E41" i="8"/>
  <c r="E42" i="8"/>
  <c r="E43" i="8"/>
  <c r="F43" i="8" s="1"/>
  <c r="E44" i="8"/>
  <c r="G44" i="8" s="1"/>
  <c r="E45" i="8"/>
  <c r="E46" i="8"/>
  <c r="E47" i="8"/>
  <c r="H47" i="8" s="1"/>
  <c r="E48" i="8"/>
  <c r="G48" i="8" s="1"/>
  <c r="E49" i="8"/>
  <c r="E50" i="8"/>
  <c r="H50" i="8" s="1"/>
  <c r="E51" i="8"/>
  <c r="F51" i="8" s="1"/>
  <c r="E52" i="8"/>
  <c r="G52" i="8" s="1"/>
  <c r="E53" i="8"/>
  <c r="E54" i="8"/>
  <c r="E55" i="8"/>
  <c r="H55" i="8" s="1"/>
  <c r="E56" i="8"/>
  <c r="G56" i="8" s="1"/>
  <c r="E57" i="8"/>
  <c r="E58" i="8"/>
  <c r="E59" i="8"/>
  <c r="F59" i="8" s="1"/>
  <c r="E60" i="8"/>
  <c r="G60" i="8" s="1"/>
  <c r="E61" i="8"/>
  <c r="E62" i="8"/>
  <c r="E63" i="8"/>
  <c r="H63" i="8" s="1"/>
  <c r="E64" i="8"/>
  <c r="E65" i="8"/>
  <c r="E66" i="8"/>
  <c r="H66" i="8" s="1"/>
  <c r="E67" i="8"/>
  <c r="F67" i="8" s="1"/>
  <c r="E68" i="8"/>
  <c r="G68" i="8" s="1"/>
  <c r="E69" i="8"/>
  <c r="E70" i="8"/>
  <c r="E71" i="8"/>
  <c r="H71" i="8" s="1"/>
  <c r="E72" i="8"/>
  <c r="E73" i="8"/>
  <c r="E74" i="8"/>
  <c r="E75" i="8"/>
  <c r="F75" i="8" s="1"/>
  <c r="E76" i="8"/>
  <c r="G76" i="8" s="1"/>
  <c r="E77" i="8"/>
  <c r="E78" i="8"/>
  <c r="E79" i="8"/>
  <c r="H79" i="8" s="1"/>
  <c r="E80" i="8"/>
  <c r="E81" i="8"/>
  <c r="E82" i="8"/>
  <c r="H82" i="8" s="1"/>
  <c r="E83" i="8"/>
  <c r="F83" i="8" s="1"/>
  <c r="E84" i="8"/>
  <c r="G84" i="8" s="1"/>
  <c r="E85" i="8"/>
  <c r="E86" i="8"/>
  <c r="E87" i="8"/>
  <c r="H87" i="8" s="1"/>
  <c r="E88" i="8"/>
  <c r="E89" i="8"/>
  <c r="E90" i="8"/>
  <c r="G90" i="8" s="1"/>
  <c r="E91" i="8"/>
  <c r="F91" i="8" s="1"/>
  <c r="E92" i="8"/>
  <c r="G92" i="8" s="1"/>
  <c r="E93" i="8"/>
  <c r="E94" i="8"/>
  <c r="E95" i="8"/>
  <c r="H95" i="8" s="1"/>
  <c r="E96" i="8"/>
  <c r="E97" i="8"/>
  <c r="E98" i="8"/>
  <c r="G98" i="8" s="1"/>
  <c r="E99" i="8"/>
  <c r="F99" i="8" s="1"/>
  <c r="E100" i="8"/>
  <c r="G100" i="8" s="1"/>
  <c r="R58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S5" i="8"/>
  <c r="U5" i="8" s="1"/>
  <c r="S6" i="8"/>
  <c r="U6" i="8" s="1"/>
  <c r="S7" i="8"/>
  <c r="S8" i="8"/>
  <c r="U8" i="8" s="1"/>
  <c r="S9" i="8"/>
  <c r="U9" i="8" s="1"/>
  <c r="S10" i="8"/>
  <c r="U10" i="8" s="1"/>
  <c r="S11" i="8"/>
  <c r="S12" i="8"/>
  <c r="U12" i="8" s="1"/>
  <c r="S13" i="8"/>
  <c r="U13" i="8" s="1"/>
  <c r="S14" i="8"/>
  <c r="U14" i="8" s="1"/>
  <c r="S15" i="8"/>
  <c r="S16" i="8"/>
  <c r="U16" i="8" s="1"/>
  <c r="S17" i="8"/>
  <c r="U17" i="8" s="1"/>
  <c r="S18" i="8"/>
  <c r="U18" i="8" s="1"/>
  <c r="S19" i="8"/>
  <c r="S20" i="8"/>
  <c r="U20" i="8" s="1"/>
  <c r="S21" i="8"/>
  <c r="U21" i="8" s="1"/>
  <c r="S22" i="8"/>
  <c r="U22" i="8" s="1"/>
  <c r="S23" i="8"/>
  <c r="S24" i="8"/>
  <c r="U24" i="8" s="1"/>
  <c r="S25" i="8"/>
  <c r="U25" i="8" s="1"/>
  <c r="S26" i="8"/>
  <c r="U26" i="8" s="1"/>
  <c r="S27" i="8"/>
  <c r="S28" i="8"/>
  <c r="U28" i="8" s="1"/>
  <c r="S29" i="8"/>
  <c r="U29" i="8" s="1"/>
  <c r="S30" i="8"/>
  <c r="U30" i="8" s="1"/>
  <c r="S31" i="8"/>
  <c r="S32" i="8"/>
  <c r="U32" i="8" s="1"/>
  <c r="S33" i="8"/>
  <c r="U33" i="8" s="1"/>
  <c r="S34" i="8"/>
  <c r="U34" i="8" s="1"/>
  <c r="S35" i="8"/>
  <c r="S36" i="8"/>
  <c r="U36" i="8" s="1"/>
  <c r="S37" i="8"/>
  <c r="U37" i="8" s="1"/>
  <c r="S38" i="8"/>
  <c r="U38" i="8" s="1"/>
  <c r="S39" i="8"/>
  <c r="S40" i="8"/>
  <c r="U40" i="8" s="1"/>
  <c r="S41" i="8"/>
  <c r="U41" i="8" s="1"/>
  <c r="S42" i="8"/>
  <c r="U42" i="8" s="1"/>
  <c r="S43" i="8"/>
  <c r="S44" i="8"/>
  <c r="U44" i="8" s="1"/>
  <c r="S45" i="8"/>
  <c r="U45" i="8" s="1"/>
  <c r="S46" i="8"/>
  <c r="U46" i="8" s="1"/>
  <c r="S47" i="8"/>
  <c r="S48" i="8"/>
  <c r="U48" i="8" s="1"/>
  <c r="S49" i="8"/>
  <c r="U49" i="8" s="1"/>
  <c r="S50" i="8"/>
  <c r="U50" i="8" s="1"/>
  <c r="S51" i="8"/>
  <c r="T4" i="8"/>
  <c r="S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O4" i="8"/>
  <c r="N4" i="8"/>
  <c r="M4" i="8"/>
  <c r="L4" i="8"/>
  <c r="I4" i="8"/>
  <c r="E4" i="8"/>
  <c r="G4" i="8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N8" i="2"/>
  <c r="N7" i="2"/>
  <c r="N2" i="2"/>
  <c r="N1" i="2"/>
  <c r="N6" i="2" s="1"/>
  <c r="L2" i="2"/>
  <c r="K2" i="2"/>
  <c r="J2" i="2"/>
  <c r="I2" i="2"/>
  <c r="H2" i="2"/>
  <c r="G2" i="2"/>
  <c r="F2" i="2"/>
  <c r="E2" i="2"/>
  <c r="C12" i="5"/>
  <c r="D3" i="5"/>
  <c r="B7" i="5" s="1"/>
  <c r="D2" i="5"/>
  <c r="C10" i="5" s="1"/>
  <c r="U51" i="8" l="1"/>
  <c r="U47" i="8"/>
  <c r="U43" i="8"/>
  <c r="U39" i="8"/>
  <c r="U35" i="8"/>
  <c r="U31" i="8"/>
  <c r="U27" i="8"/>
  <c r="U23" i="8"/>
  <c r="U19" i="8"/>
  <c r="U15" i="8"/>
  <c r="U11" i="8"/>
  <c r="U7" i="8"/>
  <c r="F95" i="8"/>
  <c r="F76" i="8"/>
  <c r="F60" i="8"/>
  <c r="F40" i="8"/>
  <c r="F28" i="8"/>
  <c r="F8" i="8"/>
  <c r="G47" i="8"/>
  <c r="H68" i="8"/>
  <c r="H28" i="8"/>
  <c r="G63" i="8"/>
  <c r="F48" i="8"/>
  <c r="F36" i="8"/>
  <c r="F16" i="8"/>
  <c r="G95" i="8"/>
  <c r="G31" i="8"/>
  <c r="H52" i="8"/>
  <c r="H20" i="8"/>
  <c r="P100" i="8"/>
  <c r="P84" i="8"/>
  <c r="P68" i="8"/>
  <c r="P52" i="8"/>
  <c r="P36" i="8"/>
  <c r="P20" i="8"/>
  <c r="U4" i="8"/>
  <c r="F100" i="8"/>
  <c r="F84" i="8"/>
  <c r="F68" i="8"/>
  <c r="F56" i="8"/>
  <c r="F44" i="8"/>
  <c r="F24" i="8"/>
  <c r="F12" i="8"/>
  <c r="G79" i="8"/>
  <c r="G15" i="8"/>
  <c r="H100" i="8"/>
  <c r="H44" i="8"/>
  <c r="H12" i="8"/>
  <c r="P96" i="8"/>
  <c r="P88" i="8"/>
  <c r="P76" i="8"/>
  <c r="P64" i="8"/>
  <c r="P56" i="8"/>
  <c r="P44" i="8"/>
  <c r="P32" i="8"/>
  <c r="P24" i="8"/>
  <c r="P8" i="8"/>
  <c r="G94" i="8"/>
  <c r="H94" i="8"/>
  <c r="G86" i="8"/>
  <c r="H86" i="8"/>
  <c r="F86" i="8"/>
  <c r="G78" i="8"/>
  <c r="H78" i="8"/>
  <c r="F78" i="8"/>
  <c r="G70" i="8"/>
  <c r="H70" i="8"/>
  <c r="F70" i="8"/>
  <c r="G62" i="8"/>
  <c r="H62" i="8"/>
  <c r="F62" i="8"/>
  <c r="G54" i="8"/>
  <c r="H54" i="8"/>
  <c r="F54" i="8"/>
  <c r="G42" i="8"/>
  <c r="F42" i="8"/>
  <c r="G34" i="8"/>
  <c r="F34" i="8"/>
  <c r="G26" i="8"/>
  <c r="F26" i="8"/>
  <c r="G18" i="8"/>
  <c r="F18" i="8"/>
  <c r="G6" i="8"/>
  <c r="H6" i="8"/>
  <c r="F6" i="8"/>
  <c r="P4" i="8"/>
  <c r="H97" i="8"/>
  <c r="G97" i="8"/>
  <c r="F97" i="8"/>
  <c r="H93" i="8"/>
  <c r="F93" i="8"/>
  <c r="H89" i="8"/>
  <c r="G89" i="8"/>
  <c r="F89" i="8"/>
  <c r="H85" i="8"/>
  <c r="F85" i="8"/>
  <c r="H81" i="8"/>
  <c r="G81" i="8"/>
  <c r="F81" i="8"/>
  <c r="H77" i="8"/>
  <c r="F77" i="8"/>
  <c r="H73" i="8"/>
  <c r="G73" i="8"/>
  <c r="F73" i="8"/>
  <c r="H69" i="8"/>
  <c r="F69" i="8"/>
  <c r="H65" i="8"/>
  <c r="G65" i="8"/>
  <c r="F65" i="8"/>
  <c r="H61" i="8"/>
  <c r="F61" i="8"/>
  <c r="H57" i="8"/>
  <c r="G57" i="8"/>
  <c r="F57" i="8"/>
  <c r="H53" i="8"/>
  <c r="F53" i="8"/>
  <c r="H49" i="8"/>
  <c r="G49" i="8"/>
  <c r="F49" i="8"/>
  <c r="H45" i="8"/>
  <c r="F45" i="8"/>
  <c r="H41" i="8"/>
  <c r="G41" i="8"/>
  <c r="F41" i="8"/>
  <c r="H37" i="8"/>
  <c r="F37" i="8"/>
  <c r="H33" i="8"/>
  <c r="G33" i="8"/>
  <c r="F33" i="8"/>
  <c r="H29" i="8"/>
  <c r="F29" i="8"/>
  <c r="H25" i="8"/>
  <c r="G25" i="8"/>
  <c r="F25" i="8"/>
  <c r="H21" i="8"/>
  <c r="F21" i="8"/>
  <c r="H17" i="8"/>
  <c r="G17" i="8"/>
  <c r="F17" i="8"/>
  <c r="H13" i="8"/>
  <c r="F13" i="8"/>
  <c r="H9" i="8"/>
  <c r="G9" i="8"/>
  <c r="F9" i="8"/>
  <c r="H5" i="8"/>
  <c r="F5" i="8"/>
  <c r="F90" i="8"/>
  <c r="G93" i="8"/>
  <c r="G77" i="8"/>
  <c r="G61" i="8"/>
  <c r="G45" i="8"/>
  <c r="G29" i="8"/>
  <c r="G13" i="8"/>
  <c r="H98" i="8"/>
  <c r="H34" i="8"/>
  <c r="H18" i="8"/>
  <c r="H4" i="8"/>
  <c r="F4" i="8"/>
  <c r="G96" i="8"/>
  <c r="H96" i="8"/>
  <c r="G88" i="8"/>
  <c r="H88" i="8"/>
  <c r="G80" i="8"/>
  <c r="H80" i="8"/>
  <c r="G72" i="8"/>
  <c r="H72" i="8"/>
  <c r="G64" i="8"/>
  <c r="H64" i="8"/>
  <c r="F94" i="8"/>
  <c r="F88" i="8"/>
  <c r="F80" i="8"/>
  <c r="F72" i="8"/>
  <c r="F64" i="8"/>
  <c r="G87" i="8"/>
  <c r="G71" i="8"/>
  <c r="G55" i="8"/>
  <c r="G39" i="8"/>
  <c r="G23" i="8"/>
  <c r="G7" i="8"/>
  <c r="H92" i="8"/>
  <c r="H76" i="8"/>
  <c r="H60" i="8"/>
  <c r="P92" i="8"/>
  <c r="P80" i="8"/>
  <c r="P72" i="8"/>
  <c r="P60" i="8"/>
  <c r="P48" i="8"/>
  <c r="P40" i="8"/>
  <c r="P28" i="8"/>
  <c r="P16" i="8"/>
  <c r="P12" i="8"/>
  <c r="G82" i="8"/>
  <c r="F82" i="8"/>
  <c r="G74" i="8"/>
  <c r="F74" i="8"/>
  <c r="G66" i="8"/>
  <c r="F66" i="8"/>
  <c r="G58" i="8"/>
  <c r="F58" i="8"/>
  <c r="G50" i="8"/>
  <c r="F50" i="8"/>
  <c r="G46" i="8"/>
  <c r="H46" i="8"/>
  <c r="F46" i="8"/>
  <c r="G38" i="8"/>
  <c r="H38" i="8"/>
  <c r="F38" i="8"/>
  <c r="G30" i="8"/>
  <c r="H30" i="8"/>
  <c r="F30" i="8"/>
  <c r="G22" i="8"/>
  <c r="H22" i="8"/>
  <c r="F22" i="8"/>
  <c r="G14" i="8"/>
  <c r="H14" i="8"/>
  <c r="F14" i="8"/>
  <c r="G10" i="8"/>
  <c r="F10" i="8"/>
  <c r="H99" i="8"/>
  <c r="G99" i="8"/>
  <c r="H91" i="8"/>
  <c r="G91" i="8"/>
  <c r="H83" i="8"/>
  <c r="G83" i="8"/>
  <c r="H75" i="8"/>
  <c r="G75" i="8"/>
  <c r="H67" i="8"/>
  <c r="G67" i="8"/>
  <c r="H59" i="8"/>
  <c r="G59" i="8"/>
  <c r="H51" i="8"/>
  <c r="G51" i="8"/>
  <c r="H43" i="8"/>
  <c r="G43" i="8"/>
  <c r="H35" i="8"/>
  <c r="G35" i="8"/>
  <c r="H27" i="8"/>
  <c r="G27" i="8"/>
  <c r="H19" i="8"/>
  <c r="G19" i="8"/>
  <c r="H11" i="8"/>
  <c r="G11" i="8"/>
  <c r="F98" i="8"/>
  <c r="F92" i="8"/>
  <c r="F87" i="8"/>
  <c r="F79" i="8"/>
  <c r="F71" i="8"/>
  <c r="F63" i="8"/>
  <c r="F55" i="8"/>
  <c r="F47" i="8"/>
  <c r="F39" i="8"/>
  <c r="F31" i="8"/>
  <c r="F23" i="8"/>
  <c r="F15" i="8"/>
  <c r="F7" i="8"/>
  <c r="G85" i="8"/>
  <c r="G69" i="8"/>
  <c r="G53" i="8"/>
  <c r="G37" i="8"/>
  <c r="G21" i="8"/>
  <c r="G5" i="8"/>
  <c r="H90" i="8"/>
  <c r="H74" i="8"/>
  <c r="H58" i="8"/>
  <c r="H42" i="8"/>
  <c r="H26" i="8"/>
  <c r="H10" i="8"/>
  <c r="H56" i="8"/>
  <c r="H48" i="8"/>
  <c r="H40" i="8"/>
  <c r="H32" i="8"/>
  <c r="H24" i="8"/>
  <c r="H16" i="8"/>
  <c r="H8" i="8"/>
  <c r="P95" i="8"/>
  <c r="P83" i="8"/>
  <c r="P71" i="8"/>
  <c r="P59" i="8"/>
  <c r="P55" i="8"/>
  <c r="P43" i="8"/>
  <c r="P31" i="8"/>
  <c r="P23" i="8"/>
  <c r="P11" i="8"/>
  <c r="P102" i="8"/>
  <c r="P98" i="8"/>
  <c r="P94" i="8"/>
  <c r="P90" i="8"/>
  <c r="P86" i="8"/>
  <c r="P82" i="8"/>
  <c r="P78" i="8"/>
  <c r="P74" i="8"/>
  <c r="P70" i="8"/>
  <c r="P66" i="8"/>
  <c r="P62" i="8"/>
  <c r="P58" i="8"/>
  <c r="P54" i="8"/>
  <c r="P50" i="8"/>
  <c r="P46" i="8"/>
  <c r="P42" i="8"/>
  <c r="P38" i="8"/>
  <c r="P34" i="8"/>
  <c r="P30" i="8"/>
  <c r="P26" i="8"/>
  <c r="P22" i="8"/>
  <c r="P18" i="8"/>
  <c r="P14" i="8"/>
  <c r="P10" i="8"/>
  <c r="P6" i="8"/>
  <c r="P103" i="8"/>
  <c r="P91" i="8"/>
  <c r="P87" i="8"/>
  <c r="P75" i="8"/>
  <c r="P63" i="8"/>
  <c r="P47" i="8"/>
  <c r="P39" i="8"/>
  <c r="P27" i="8"/>
  <c r="P19" i="8"/>
  <c r="P7" i="8"/>
  <c r="P101" i="8"/>
  <c r="P97" i="8"/>
  <c r="P93" i="8"/>
  <c r="P89" i="8"/>
  <c r="P85" i="8"/>
  <c r="P81" i="8"/>
  <c r="P77" i="8"/>
  <c r="P73" i="8"/>
  <c r="P69" i="8"/>
  <c r="P65" i="8"/>
  <c r="P61" i="8"/>
  <c r="P57" i="8"/>
  <c r="P53" i="8"/>
  <c r="P49" i="8"/>
  <c r="P45" i="8"/>
  <c r="P41" i="8"/>
  <c r="P37" i="8"/>
  <c r="P33" i="8"/>
  <c r="P29" i="8"/>
  <c r="P25" i="8"/>
  <c r="P21" i="8"/>
  <c r="P17" i="8"/>
  <c r="P13" i="8"/>
  <c r="P9" i="8"/>
  <c r="P5" i="8"/>
  <c r="P99" i="8"/>
  <c r="P79" i="8"/>
  <c r="P67" i="8"/>
  <c r="P51" i="8"/>
  <c r="P35" i="8"/>
  <c r="P15" i="8"/>
  <c r="N20" i="2"/>
  <c r="N5" i="2"/>
  <c r="C17" i="5"/>
  <c r="C16" i="5"/>
  <c r="C15" i="5"/>
  <c r="C13" i="5"/>
  <c r="F7" i="5"/>
  <c r="G7" i="5"/>
  <c r="E7" i="5"/>
  <c r="D7" i="5"/>
  <c r="C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D4EE0-8102-4576-8E66-E103662EAD4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B5097AC3-7308-4A86-A517-C8B900D2F970}" keepAlive="1" name="Query - Worksheet" description="Connection to the 'Worksheet' query in the workbook." type="5" refreshedVersion="8" background="1" saveData="1">
    <dbPr connection="Provider=Microsoft.Mashup.OleDb.1;Data Source=$Workbook$;Location=Worksheet;Extended Properties=&quot;&quot;" command="SELECT * FROM [Worksheet]"/>
  </connection>
</connections>
</file>

<file path=xl/sharedStrings.xml><?xml version="1.0" encoding="utf-8"?>
<sst xmlns="http://schemas.openxmlformats.org/spreadsheetml/2006/main" count="1391" uniqueCount="733">
  <si>
    <t>Name</t>
  </si>
  <si>
    <t>Year</t>
  </si>
  <si>
    <t>Date</t>
  </si>
  <si>
    <t xml:space="preserve">START DATE </t>
  </si>
  <si>
    <t>TODAY</t>
  </si>
  <si>
    <t>NOW</t>
  </si>
  <si>
    <t>YEAR</t>
  </si>
  <si>
    <t>MONTH</t>
  </si>
  <si>
    <t>DAY</t>
  </si>
  <si>
    <t>HOUR</t>
  </si>
  <si>
    <t>WEEKDAY:</t>
  </si>
  <si>
    <t>WORKDAY:</t>
  </si>
  <si>
    <t>NETWORKDAY:</t>
  </si>
  <si>
    <t>LAST DAY OF MONTH:</t>
  </si>
  <si>
    <t>FIRST DAY OF MONTH:</t>
  </si>
  <si>
    <t>FIRST DAY OF NEXT YEAR:</t>
  </si>
  <si>
    <t>DATE</t>
  </si>
  <si>
    <t>MINUTE</t>
  </si>
  <si>
    <t>SECOND</t>
  </si>
  <si>
    <t>ID's</t>
  </si>
  <si>
    <t>Locations</t>
  </si>
  <si>
    <t>Day</t>
  </si>
  <si>
    <t>Month</t>
  </si>
  <si>
    <t>Weekday</t>
  </si>
  <si>
    <t>Weeknumber</t>
  </si>
  <si>
    <t>Month Name</t>
  </si>
  <si>
    <t>Day Name</t>
  </si>
  <si>
    <t>Current Date</t>
  </si>
  <si>
    <t>PE-00001</t>
  </si>
  <si>
    <t>ravi roy</t>
  </si>
  <si>
    <t>Delhi</t>
  </si>
  <si>
    <t>Current Date and Time</t>
  </si>
  <si>
    <t>PE-00002</t>
  </si>
  <si>
    <t>shiva verma</t>
  </si>
  <si>
    <t>Noida</t>
  </si>
  <si>
    <t>Fixed Date</t>
  </si>
  <si>
    <t>PE-00003</t>
  </si>
  <si>
    <t>mohit sharma</t>
  </si>
  <si>
    <t>Gurgaon</t>
  </si>
  <si>
    <t>Fixed Time</t>
  </si>
  <si>
    <t>PE-00004</t>
  </si>
  <si>
    <t>rupa juneja</t>
  </si>
  <si>
    <t>Date Difference</t>
  </si>
  <si>
    <t>PE-00005</t>
  </si>
  <si>
    <t>deepak mehra</t>
  </si>
  <si>
    <t>PE-00006</t>
  </si>
  <si>
    <t>ravi mehra</t>
  </si>
  <si>
    <t>Net Working Days</t>
  </si>
  <si>
    <t>PE-00007</t>
  </si>
  <si>
    <t>shiva mehra</t>
  </si>
  <si>
    <t>Project Completion Date</t>
  </si>
  <si>
    <t>PE-00008</t>
  </si>
  <si>
    <t>babu singh</t>
  </si>
  <si>
    <t>PE-00009</t>
  </si>
  <si>
    <t>jalal singh</t>
  </si>
  <si>
    <t>PE-00010</t>
  </si>
  <si>
    <t>PE-00011</t>
  </si>
  <si>
    <t>rohit gulati</t>
  </si>
  <si>
    <t>Mumbai</t>
  </si>
  <si>
    <t>PE-00012</t>
  </si>
  <si>
    <t>peter darshan</t>
  </si>
  <si>
    <t>PE-00013</t>
  </si>
  <si>
    <t>deepak verma</t>
  </si>
  <si>
    <t>PE-00014</t>
  </si>
  <si>
    <t>juhi roy</t>
  </si>
  <si>
    <t>Bangalore</t>
  </si>
  <si>
    <t>PE-00015</t>
  </si>
  <si>
    <t>kareena sharma</t>
  </si>
  <si>
    <t>PE-00016</t>
  </si>
  <si>
    <t>rahul jain</t>
  </si>
  <si>
    <t>PE-00017</t>
  </si>
  <si>
    <t>rohan jain</t>
  </si>
  <si>
    <t>PE-00018</t>
  </si>
  <si>
    <t>manav verma</t>
  </si>
  <si>
    <t>PE-00019</t>
  </si>
  <si>
    <t>alok gupta</t>
  </si>
  <si>
    <t>PE-00020</t>
  </si>
  <si>
    <t>manoj kumar</t>
  </si>
  <si>
    <t>PE-00021</t>
  </si>
  <si>
    <t>rohan kumar</t>
  </si>
  <si>
    <t>PE-00022</t>
  </si>
  <si>
    <t>rohit jain</t>
  </si>
  <si>
    <t>PE-00023</t>
  </si>
  <si>
    <t>aryan singh</t>
  </si>
  <si>
    <t>PE-00024</t>
  </si>
  <si>
    <t>alok singh</t>
  </si>
  <si>
    <t>Chennai</t>
  </si>
  <si>
    <t>PE-00025</t>
  </si>
  <si>
    <t>deepak gulati</t>
  </si>
  <si>
    <t>PE-00026</t>
  </si>
  <si>
    <t>sameer roy</t>
  </si>
  <si>
    <t>PE-00027</t>
  </si>
  <si>
    <t>PE-00028</t>
  </si>
  <si>
    <t>peter verma</t>
  </si>
  <si>
    <t>PE-00029</t>
  </si>
  <si>
    <t>juhi verma</t>
  </si>
  <si>
    <t>PE-00030</t>
  </si>
  <si>
    <t>deep singh</t>
  </si>
  <si>
    <t>PE-00031</t>
  </si>
  <si>
    <t>swati suneja</t>
  </si>
  <si>
    <t>PE-00032</t>
  </si>
  <si>
    <t>mayank jain</t>
  </si>
  <si>
    <t>PE-00033</t>
  </si>
  <si>
    <t>sophia roy</t>
  </si>
  <si>
    <t>PE-00034</t>
  </si>
  <si>
    <t>tarun verma</t>
  </si>
  <si>
    <t>PE-00035</t>
  </si>
  <si>
    <t>manish sharma</t>
  </si>
  <si>
    <t>PE-00036</t>
  </si>
  <si>
    <t>maneesh verma</t>
  </si>
  <si>
    <t>PE-00037</t>
  </si>
  <si>
    <t>nitin gupta</t>
  </si>
  <si>
    <t>PE-00038</t>
  </si>
  <si>
    <t>depanshu gupta</t>
  </si>
  <si>
    <t>PE-00039</t>
  </si>
  <si>
    <t>keshav verma</t>
  </si>
  <si>
    <t>PE-00040</t>
  </si>
  <si>
    <t>keshav singh</t>
  </si>
  <si>
    <t>PE-00041</t>
  </si>
  <si>
    <t>gaurav jain</t>
  </si>
  <si>
    <t>PE-00042</t>
  </si>
  <si>
    <t>ankit singh</t>
  </si>
  <si>
    <t>PE-00043</t>
  </si>
  <si>
    <t>divya mehra</t>
  </si>
  <si>
    <t>PE-00044</t>
  </si>
  <si>
    <t>sonia jain</t>
  </si>
  <si>
    <t>PE-00045</t>
  </si>
  <si>
    <t>sonia roy</t>
  </si>
  <si>
    <t>PE-00046</t>
  </si>
  <si>
    <t>ruhi mehra</t>
  </si>
  <si>
    <t>Hyderabad</t>
  </si>
  <si>
    <t>PE-00047</t>
  </si>
  <si>
    <t>jasmine sharma</t>
  </si>
  <si>
    <t>PE-00048</t>
  </si>
  <si>
    <t>sahil roy</t>
  </si>
  <si>
    <t>PE-00049</t>
  </si>
  <si>
    <t>Aakash</t>
  </si>
  <si>
    <t>PE-00050</t>
  </si>
  <si>
    <t>Madhur</t>
  </si>
  <si>
    <t>PE-00051</t>
  </si>
  <si>
    <t>Mohit</t>
  </si>
  <si>
    <t>PE-00052</t>
  </si>
  <si>
    <t>Vikrant</t>
  </si>
  <si>
    <t>PE-00053</t>
  </si>
  <si>
    <t>Abhijeet</t>
  </si>
  <si>
    <t>PE-00054</t>
  </si>
  <si>
    <t>Atika</t>
  </si>
  <si>
    <t>PE-00055</t>
  </si>
  <si>
    <t>Sunny</t>
  </si>
  <si>
    <t>PE-00056</t>
  </si>
  <si>
    <t>Anamika</t>
  </si>
  <si>
    <t>PE-00057</t>
  </si>
  <si>
    <t>Priyanka</t>
  </si>
  <si>
    <t>PE-00058</t>
  </si>
  <si>
    <t>Anisha</t>
  </si>
  <si>
    <t>PE-00059</t>
  </si>
  <si>
    <t>Anupama</t>
  </si>
  <si>
    <t>PE-00060</t>
  </si>
  <si>
    <t>Nidhi</t>
  </si>
  <si>
    <t>PE-00061</t>
  </si>
  <si>
    <t>Harpreet</t>
  </si>
  <si>
    <t>PE-00062</t>
  </si>
  <si>
    <t>Bharti</t>
  </si>
  <si>
    <t>PE-00063</t>
  </si>
  <si>
    <t>Bhumika</t>
  </si>
  <si>
    <t>PE-00064</t>
  </si>
  <si>
    <t>Chander</t>
  </si>
  <si>
    <t>PE-00065</t>
  </si>
  <si>
    <t>Ritu</t>
  </si>
  <si>
    <t>PE-00066</t>
  </si>
  <si>
    <t>Maneesh</t>
  </si>
  <si>
    <t>PE-00067</t>
  </si>
  <si>
    <t>Aaradhya</t>
  </si>
  <si>
    <t>PE-00068</t>
  </si>
  <si>
    <t>Adah</t>
  </si>
  <si>
    <t>PE-00069</t>
  </si>
  <si>
    <t>Adhira</t>
  </si>
  <si>
    <t>PE-00070</t>
  </si>
  <si>
    <t>Alisha</t>
  </si>
  <si>
    <t>PE-00071</t>
  </si>
  <si>
    <t>Amoli</t>
  </si>
  <si>
    <t>PE-00072</t>
  </si>
  <si>
    <t>Anaisha</t>
  </si>
  <si>
    <t>PE-00073</t>
  </si>
  <si>
    <t>Ananya</t>
  </si>
  <si>
    <t>PE-00074</t>
  </si>
  <si>
    <t>Anika</t>
  </si>
  <si>
    <t>PE-00075</t>
  </si>
  <si>
    <t>Anushka</t>
  </si>
  <si>
    <t>PE-00076</t>
  </si>
  <si>
    <t>Asmee</t>
  </si>
  <si>
    <t>PE-00077</t>
  </si>
  <si>
    <t>Avni</t>
  </si>
  <si>
    <t>PE-00078</t>
  </si>
  <si>
    <t>Carina</t>
  </si>
  <si>
    <t>PE-00079</t>
  </si>
  <si>
    <t>Drishti</t>
  </si>
  <si>
    <t>PE-00080</t>
  </si>
  <si>
    <t>Hiya</t>
  </si>
  <si>
    <t>PE-00081</t>
  </si>
  <si>
    <t>Ira</t>
  </si>
  <si>
    <t>PE-00082</t>
  </si>
  <si>
    <t>Ishana</t>
  </si>
  <si>
    <t>PE-00083</t>
  </si>
  <si>
    <t>Ishita</t>
  </si>
  <si>
    <t>PE-00084</t>
  </si>
  <si>
    <t>Kaia</t>
  </si>
  <si>
    <t>PE-00085</t>
  </si>
  <si>
    <t>Kashvi</t>
  </si>
  <si>
    <t>PE-00086</t>
  </si>
  <si>
    <t>Keya</t>
  </si>
  <si>
    <t>PE-00087</t>
  </si>
  <si>
    <t>Kimaya</t>
  </si>
  <si>
    <t>PE-00088</t>
  </si>
  <si>
    <t>Krisha</t>
  </si>
  <si>
    <t>PE-00089</t>
  </si>
  <si>
    <t>Larisa</t>
  </si>
  <si>
    <t>PE-00090</t>
  </si>
  <si>
    <t>Mahika</t>
  </si>
  <si>
    <t>PE-00091</t>
  </si>
  <si>
    <t>Mayra</t>
  </si>
  <si>
    <t>PE-00092</t>
  </si>
  <si>
    <t>Mehar</t>
  </si>
  <si>
    <t>PE-00093</t>
  </si>
  <si>
    <t>Mirai</t>
  </si>
  <si>
    <t>PE-00094</t>
  </si>
  <si>
    <t>Mishka</t>
  </si>
  <si>
    <t>PE-00095</t>
  </si>
  <si>
    <t>Naitee</t>
  </si>
  <si>
    <t>PE-00096</t>
  </si>
  <si>
    <t>Navya</t>
  </si>
  <si>
    <t>PE-00097</t>
  </si>
  <si>
    <t>Nehrika</t>
  </si>
  <si>
    <t>PE-00098</t>
  </si>
  <si>
    <t>Neysa</t>
  </si>
  <si>
    <t>PE-00099</t>
  </si>
  <si>
    <t>Pavati</t>
  </si>
  <si>
    <t>PE-00100</t>
  </si>
  <si>
    <t>Prisha</t>
  </si>
  <si>
    <t>PE-00101</t>
  </si>
  <si>
    <t>Ryka</t>
  </si>
  <si>
    <t>PE-00102</t>
  </si>
  <si>
    <t>Rebecca</t>
  </si>
  <si>
    <t>PE-00103</t>
  </si>
  <si>
    <t>Saanvi</t>
  </si>
  <si>
    <t>PE-00104</t>
  </si>
  <si>
    <t>Sahana</t>
  </si>
  <si>
    <t>PE-00105</t>
  </si>
  <si>
    <t>Sai</t>
  </si>
  <si>
    <t>PE-00106</t>
  </si>
  <si>
    <t>Saisha</t>
  </si>
  <si>
    <t>PE-00107</t>
  </si>
  <si>
    <t>Saloni</t>
  </si>
  <si>
    <t>PE-00108</t>
  </si>
  <si>
    <t>Shanaya</t>
  </si>
  <si>
    <t>PE-00109</t>
  </si>
  <si>
    <t>Shrishti</t>
  </si>
  <si>
    <t>PE-00110</t>
  </si>
  <si>
    <t>Sneha</t>
  </si>
  <si>
    <t>PE-00111</t>
  </si>
  <si>
    <t>Taahira</t>
  </si>
  <si>
    <t>PE-00112</t>
  </si>
  <si>
    <t>Taara</t>
  </si>
  <si>
    <t>PE-00113</t>
  </si>
  <si>
    <t>Tanvi</t>
  </si>
  <si>
    <t>PE-00114</t>
  </si>
  <si>
    <t>Viti</t>
  </si>
  <si>
    <t>PE-00115</t>
  </si>
  <si>
    <t>Zara</t>
  </si>
  <si>
    <t>PE-00116</t>
  </si>
  <si>
    <t>Ravi</t>
  </si>
  <si>
    <t>PE-00117</t>
  </si>
  <si>
    <t>Shiva</t>
  </si>
  <si>
    <t>PE-00118</t>
  </si>
  <si>
    <t>PE-00119</t>
  </si>
  <si>
    <t>Aahva</t>
  </si>
  <si>
    <t>PE-00120</t>
  </si>
  <si>
    <t>Aadiv</t>
  </si>
  <si>
    <t>PE-00121</t>
  </si>
  <si>
    <t>Aarav</t>
  </si>
  <si>
    <t>PE-00122</t>
  </si>
  <si>
    <t>Akanksh</t>
  </si>
  <si>
    <t>PE-00123</t>
  </si>
  <si>
    <t>Alex</t>
  </si>
  <si>
    <t>PE-00124</t>
  </si>
  <si>
    <t>Anant</t>
  </si>
  <si>
    <t>PE-00125</t>
  </si>
  <si>
    <t>Atiksh</t>
  </si>
  <si>
    <t>PE-00126</t>
  </si>
  <si>
    <t>Ayaan</t>
  </si>
  <si>
    <t>PE-00127</t>
  </si>
  <si>
    <t>Bhuv</t>
  </si>
  <si>
    <t>PE-00128</t>
  </si>
  <si>
    <t>Dasya</t>
  </si>
  <si>
    <t>PE-00129</t>
  </si>
  <si>
    <t>Gian</t>
  </si>
  <si>
    <t>PE-00130</t>
  </si>
  <si>
    <t>Hem</t>
  </si>
  <si>
    <t>PE-00131</t>
  </si>
  <si>
    <t>Idhant</t>
  </si>
  <si>
    <t>PE-00132</t>
  </si>
  <si>
    <t>Ishank</t>
  </si>
  <si>
    <t>PE-00133</t>
  </si>
  <si>
    <t>Jash</t>
  </si>
  <si>
    <t>PE-00134</t>
  </si>
  <si>
    <t>Jay</t>
  </si>
  <si>
    <t>PE-00135</t>
  </si>
  <si>
    <t>Joseph</t>
  </si>
  <si>
    <t>PE-00136</t>
  </si>
  <si>
    <t>Kabir</t>
  </si>
  <si>
    <t>PE-00137</t>
  </si>
  <si>
    <t>Kahaan</t>
  </si>
  <si>
    <t>PE-00138</t>
  </si>
  <si>
    <t>Kairav</t>
  </si>
  <si>
    <t>PE-00139</t>
  </si>
  <si>
    <t>Kevin</t>
  </si>
  <si>
    <t>PE-00140</t>
  </si>
  <si>
    <t>Laksh</t>
  </si>
  <si>
    <t>PE-00141</t>
  </si>
  <si>
    <t>Luv</t>
  </si>
  <si>
    <t>PE-00142</t>
  </si>
  <si>
    <t>Manan</t>
  </si>
  <si>
    <t>PE-00143</t>
  </si>
  <si>
    <t>Mohammad</t>
  </si>
  <si>
    <t>PE-00144</t>
  </si>
  <si>
    <t>Naksh</t>
  </si>
  <si>
    <t>PE-00145</t>
  </si>
  <si>
    <t>Nimit</t>
  </si>
  <si>
    <t>PE-00146</t>
  </si>
  <si>
    <t>Nirav</t>
  </si>
  <si>
    <t>PE-00147</t>
  </si>
  <si>
    <t>Pahal</t>
  </si>
  <si>
    <t>PE-00148</t>
  </si>
  <si>
    <t>Parv</t>
  </si>
  <si>
    <t>PE-00149</t>
  </si>
  <si>
    <t>Pranay</t>
  </si>
  <si>
    <t>PE-00150</t>
  </si>
  <si>
    <t>Rachit</t>
  </si>
  <si>
    <t>PE-00151</t>
  </si>
  <si>
    <t>Raj</t>
  </si>
  <si>
    <t>PE-00152</t>
  </si>
  <si>
    <t>Ranbir</t>
  </si>
  <si>
    <t>PE-00153</t>
  </si>
  <si>
    <t>Raunak</t>
  </si>
  <si>
    <t>PE-00154</t>
  </si>
  <si>
    <t>Reyansh</t>
  </si>
  <si>
    <t>PE-00155</t>
  </si>
  <si>
    <t>Rishaan</t>
  </si>
  <si>
    <t>PE-00156</t>
  </si>
  <si>
    <t>Rishit</t>
  </si>
  <si>
    <t>PE-00157</t>
  </si>
  <si>
    <t>Rohan</t>
  </si>
  <si>
    <t>PE-00158</t>
  </si>
  <si>
    <t>Rudra</t>
  </si>
  <si>
    <t>PE-00159</t>
  </si>
  <si>
    <t>Rushil</t>
  </si>
  <si>
    <t>PE-00160</t>
  </si>
  <si>
    <t>Sadhil</t>
  </si>
  <si>
    <t>PE-00161</t>
  </si>
  <si>
    <t>Sarthak</t>
  </si>
  <si>
    <t>PE-00162</t>
  </si>
  <si>
    <t>Taarush</t>
  </si>
  <si>
    <t>PE-00163</t>
  </si>
  <si>
    <t>Taksh</t>
  </si>
  <si>
    <t>PE-00164</t>
  </si>
  <si>
    <t>Ved</t>
  </si>
  <si>
    <t>PE-00165</t>
  </si>
  <si>
    <t>Vihaan</t>
  </si>
  <si>
    <t>PE-00166</t>
  </si>
  <si>
    <t>Vivaan</t>
  </si>
  <si>
    <t>PE-00167</t>
  </si>
  <si>
    <t>Yash</t>
  </si>
  <si>
    <t>PE-00168</t>
  </si>
  <si>
    <t>Yug</t>
  </si>
  <si>
    <t>PZ-00169</t>
  </si>
  <si>
    <t>Zuber</t>
  </si>
  <si>
    <t>PZ-00170</t>
  </si>
  <si>
    <t>PZ-00171</t>
  </si>
  <si>
    <t>PZ-00172</t>
  </si>
  <si>
    <t>PZ-00173</t>
  </si>
  <si>
    <t>PZ-00174</t>
  </si>
  <si>
    <t>PZ-00175</t>
  </si>
  <si>
    <t>PZ-00176</t>
  </si>
  <si>
    <t>PZ-00177</t>
  </si>
  <si>
    <t>PZ-00178</t>
  </si>
  <si>
    <t>PZ-00179</t>
  </si>
  <si>
    <t>PZ-00180</t>
  </si>
  <si>
    <t>PZ-00181</t>
  </si>
  <si>
    <t>PZ-00182</t>
  </si>
  <si>
    <t>PZ-00183</t>
  </si>
  <si>
    <t>PZ-00184</t>
  </si>
  <si>
    <t>PZ-00185</t>
  </si>
  <si>
    <t>PZ-00186</t>
  </si>
  <si>
    <t>PZ-00187</t>
  </si>
  <si>
    <t>PZ-00188</t>
  </si>
  <si>
    <t>PZ-00189</t>
  </si>
  <si>
    <t>PZ-00190</t>
  </si>
  <si>
    <t>PZ-00191</t>
  </si>
  <si>
    <t>PZ-00192</t>
  </si>
  <si>
    <t>PZ-00193</t>
  </si>
  <si>
    <t>PZ-00194</t>
  </si>
  <si>
    <t>PZ-00195</t>
  </si>
  <si>
    <t>PZ-00196</t>
  </si>
  <si>
    <t>PZ-00197</t>
  </si>
  <si>
    <t>PZ-00198</t>
  </si>
  <si>
    <t>PZ-00199</t>
  </si>
  <si>
    <t>PZ-00200</t>
  </si>
  <si>
    <t>PZ-00201</t>
  </si>
  <si>
    <t>PZ-00202</t>
  </si>
  <si>
    <t>PZ-00203</t>
  </si>
  <si>
    <t>PZ-00204</t>
  </si>
  <si>
    <t>PZ-00205</t>
  </si>
  <si>
    <t>PZ-00206</t>
  </si>
  <si>
    <t>PZ-00207</t>
  </si>
  <si>
    <t>PZ-00208</t>
  </si>
  <si>
    <t>PZ-00209</t>
  </si>
  <si>
    <t>PZ-00210</t>
  </si>
  <si>
    <t>PZ-00211</t>
  </si>
  <si>
    <t>PZ-00212</t>
  </si>
  <si>
    <t>ID-00100</t>
  </si>
  <si>
    <t>ID-00099</t>
  </si>
  <si>
    <t>ID-00098</t>
  </si>
  <si>
    <t>ID-00097</t>
  </si>
  <si>
    <t>ID-00096</t>
  </si>
  <si>
    <t>ID-00095</t>
  </si>
  <si>
    <t>ID-00094</t>
  </si>
  <si>
    <t>ID-00093</t>
  </si>
  <si>
    <t>ID-00092</t>
  </si>
  <si>
    <t>ID-00091</t>
  </si>
  <si>
    <t>ID-00090</t>
  </si>
  <si>
    <t>ID-00089</t>
  </si>
  <si>
    <t>ID-00088</t>
  </si>
  <si>
    <t>ID-00087</t>
  </si>
  <si>
    <t>ID-00086</t>
  </si>
  <si>
    <t>ID-00085</t>
  </si>
  <si>
    <t>ID-00084</t>
  </si>
  <si>
    <t>ID-00083</t>
  </si>
  <si>
    <t>ID-00082</t>
  </si>
  <si>
    <t>ID-00081</t>
  </si>
  <si>
    <t>ID-00080</t>
  </si>
  <si>
    <t>ID-00079</t>
  </si>
  <si>
    <t>ID-00078</t>
  </si>
  <si>
    <t>ID-00077</t>
  </si>
  <si>
    <t>ID-00076</t>
  </si>
  <si>
    <t>ID-00075</t>
  </si>
  <si>
    <t>ID-00074</t>
  </si>
  <si>
    <t>ID-00073</t>
  </si>
  <si>
    <t>ID-00072</t>
  </si>
  <si>
    <t>ID-00071</t>
  </si>
  <si>
    <t>ID-00070</t>
  </si>
  <si>
    <t>ID-00069</t>
  </si>
  <si>
    <t>ID-00068</t>
  </si>
  <si>
    <t>ID-00067</t>
  </si>
  <si>
    <t>ID-00066</t>
  </si>
  <si>
    <t>ID-00065</t>
  </si>
  <si>
    <t>ID-00064</t>
  </si>
  <si>
    <t>ID-00063</t>
  </si>
  <si>
    <t>ID-00062</t>
  </si>
  <si>
    <t>ID-00061</t>
  </si>
  <si>
    <t>ID-00060</t>
  </si>
  <si>
    <t>ID-00059</t>
  </si>
  <si>
    <t>ID-00058</t>
  </si>
  <si>
    <t>ID-00057</t>
  </si>
  <si>
    <t>ID-00056</t>
  </si>
  <si>
    <t>ID-00055</t>
  </si>
  <si>
    <t>ID-00054</t>
  </si>
  <si>
    <t>ID-00053</t>
  </si>
  <si>
    <t>ID-00052</t>
  </si>
  <si>
    <t>ID-00051</t>
  </si>
  <si>
    <t>ID-00050</t>
  </si>
  <si>
    <t>ID-00049</t>
  </si>
  <si>
    <t>Sahil Roy</t>
  </si>
  <si>
    <t>sahilroy@thebiman.com</t>
  </si>
  <si>
    <t>ID-00048</t>
  </si>
  <si>
    <t>Jasmine Sharma</t>
  </si>
  <si>
    <t>jasminesharma@thebiman.com</t>
  </si>
  <si>
    <t>ID-00047</t>
  </si>
  <si>
    <t>Ruhi Mehra</t>
  </si>
  <si>
    <t>ruhimehra@thebiman.com</t>
  </si>
  <si>
    <t>ID-00046</t>
  </si>
  <si>
    <t>Sonia Roy</t>
  </si>
  <si>
    <t>soniaroy@thebiman.com</t>
  </si>
  <si>
    <t>ID-00045</t>
  </si>
  <si>
    <t>Sonia Jain</t>
  </si>
  <si>
    <t>soniajain@thebiman.com</t>
  </si>
  <si>
    <t>ID-00044</t>
  </si>
  <si>
    <t>Divya Mehra</t>
  </si>
  <si>
    <t>divyamehra@thebiman.com</t>
  </si>
  <si>
    <t>ID-00043</t>
  </si>
  <si>
    <t>Ankit Singh</t>
  </si>
  <si>
    <t>ankitsingh@thebiman.com</t>
  </si>
  <si>
    <t>ID-00042</t>
  </si>
  <si>
    <t>Gaurav Jain</t>
  </si>
  <si>
    <t>gauravjain@thebiman.com</t>
  </si>
  <si>
    <t>ID-00041</t>
  </si>
  <si>
    <t>Keshav Singh</t>
  </si>
  <si>
    <t>keshavsingh@thebiman.com</t>
  </si>
  <si>
    <t>ID-00040</t>
  </si>
  <si>
    <t>Keshav Verma</t>
  </si>
  <si>
    <t>keshavverma@thebiman.com</t>
  </si>
  <si>
    <t>ID-00039</t>
  </si>
  <si>
    <t>Depanshu Gupta</t>
  </si>
  <si>
    <t>depanshugupta@thebiman.com</t>
  </si>
  <si>
    <t>ID-00038</t>
  </si>
  <si>
    <t>Nitin Gupta</t>
  </si>
  <si>
    <t>nitingupta@thebiman.com</t>
  </si>
  <si>
    <t>ID-00037</t>
  </si>
  <si>
    <t>Maneesh Verma</t>
  </si>
  <si>
    <t>maneeshverma@thebiman.com</t>
  </si>
  <si>
    <t>ID-00036</t>
  </si>
  <si>
    <t>Manish Sharma</t>
  </si>
  <si>
    <t>manishsharma@thebiman.com</t>
  </si>
  <si>
    <t>ID-00035</t>
  </si>
  <si>
    <t>Tarun Verma</t>
  </si>
  <si>
    <t>tarunverma@thebiman.com</t>
  </si>
  <si>
    <t>ID-00034</t>
  </si>
  <si>
    <t>Sophia Roy</t>
  </si>
  <si>
    <t>sophiaroy@thebiman.com</t>
  </si>
  <si>
    <t>ID-00033</t>
  </si>
  <si>
    <t>Mayank Jain</t>
  </si>
  <si>
    <t>mayankjain@thebiman.com</t>
  </si>
  <si>
    <t>ID-00032</t>
  </si>
  <si>
    <t>Swati Suneja</t>
  </si>
  <si>
    <t>swatisuneja@thebiman.com</t>
  </si>
  <si>
    <t>ID-00031</t>
  </si>
  <si>
    <t>Deep Singh</t>
  </si>
  <si>
    <t>deepsingh@thebiman.com</t>
  </si>
  <si>
    <t>ID-00030</t>
  </si>
  <si>
    <t>Juhi Verma</t>
  </si>
  <si>
    <t>juhiverma@thebiman.com</t>
  </si>
  <si>
    <t>ID-00029</t>
  </si>
  <si>
    <t>IDter Verma</t>
  </si>
  <si>
    <t>IDterverma@thebiman.com</t>
  </si>
  <si>
    <t>ID-00028</t>
  </si>
  <si>
    <t>IDter verma</t>
  </si>
  <si>
    <t>Manav Verma</t>
  </si>
  <si>
    <t>manavverma@thebiman.com</t>
  </si>
  <si>
    <t>ID-00027</t>
  </si>
  <si>
    <t>Sameer Roy</t>
  </si>
  <si>
    <t>sameerroy@thebiman.com</t>
  </si>
  <si>
    <t>ID-00026</t>
  </si>
  <si>
    <t>Deepak Gulati</t>
  </si>
  <si>
    <t>deepakgulati@thebiman.com</t>
  </si>
  <si>
    <t>ID-00025</t>
  </si>
  <si>
    <t>Alok Singh</t>
  </si>
  <si>
    <t>aloksingh@thebiman.com</t>
  </si>
  <si>
    <t>ID-00024</t>
  </si>
  <si>
    <t>Aryan Singh</t>
  </si>
  <si>
    <t>aryansingh@thebiman.com</t>
  </si>
  <si>
    <t>ID-00023</t>
  </si>
  <si>
    <t>Rohit Jain</t>
  </si>
  <si>
    <t>rohitjain@thebiman.com</t>
  </si>
  <si>
    <t>ID-00022</t>
  </si>
  <si>
    <t>Rohan Kumar</t>
  </si>
  <si>
    <t>rohankumar@thebiman.com</t>
  </si>
  <si>
    <t>ID-00021</t>
  </si>
  <si>
    <t>Manoj Kumar</t>
  </si>
  <si>
    <t>manojkumar@thebiman.com</t>
  </si>
  <si>
    <t>ID-00020</t>
  </si>
  <si>
    <t>Alok Gupta</t>
  </si>
  <si>
    <t>alokgupta@thebiman.com</t>
  </si>
  <si>
    <t>ID-00019</t>
  </si>
  <si>
    <t>ID-00018</t>
  </si>
  <si>
    <t>Rohan Jain</t>
  </si>
  <si>
    <t>rohanjain@thebiman.com</t>
  </si>
  <si>
    <t>ID-00017</t>
  </si>
  <si>
    <t>Rahul Jain</t>
  </si>
  <si>
    <t>rahuljain@thebiman.com</t>
  </si>
  <si>
    <t>ID-00016</t>
  </si>
  <si>
    <t>Kareena Sharma</t>
  </si>
  <si>
    <t>kareenasharma@thebiman.com</t>
  </si>
  <si>
    <t>ID-00015</t>
  </si>
  <si>
    <t>Juhi Roy</t>
  </si>
  <si>
    <t>juhiroy@thebiman.com</t>
  </si>
  <si>
    <t>ID-00014</t>
  </si>
  <si>
    <t>Deepak Verma</t>
  </si>
  <si>
    <t>deepakverma@thebiman.com</t>
  </si>
  <si>
    <t>ID-00013</t>
  </si>
  <si>
    <t>IDter Darshan</t>
  </si>
  <si>
    <t>IDterdarshan@thebiman.com</t>
  </si>
  <si>
    <t>ID-00012</t>
  </si>
  <si>
    <t>IDter darshan</t>
  </si>
  <si>
    <t>Rohit Gulati</t>
  </si>
  <si>
    <t>rohitgulati@thebiman.com</t>
  </si>
  <si>
    <t>ID-00011</t>
  </si>
  <si>
    <t>rohit     gulati</t>
  </si>
  <si>
    <t>Ravi Roy</t>
  </si>
  <si>
    <t>raviroy@thebiman.com</t>
  </si>
  <si>
    <t>ID-00010</t>
  </si>
  <si>
    <t>Jalal Singh</t>
  </si>
  <si>
    <t>jalalsingh@thebiman.com</t>
  </si>
  <si>
    <t>ID-00009</t>
  </si>
  <si>
    <t>Babu Singh</t>
  </si>
  <si>
    <t>babusingh@thebiman.com</t>
  </si>
  <si>
    <t>ID-00008</t>
  </si>
  <si>
    <t>Shiva Mehra</t>
  </si>
  <si>
    <t>shivamehra@thebiman.com</t>
  </si>
  <si>
    <t>ID-00007</t>
  </si>
  <si>
    <t>Ravi Mehra</t>
  </si>
  <si>
    <t>ravimehra@thebiman.com</t>
  </si>
  <si>
    <t>ID-00006</t>
  </si>
  <si>
    <t>ravi         mehra</t>
  </si>
  <si>
    <t>Deepak Mehra</t>
  </si>
  <si>
    <t>deepakmehra@thebiman.com</t>
  </si>
  <si>
    <t>ID-00005</t>
  </si>
  <si>
    <t>Rupa Juneja</t>
  </si>
  <si>
    <t>rupajuneja@thebiman.com</t>
  </si>
  <si>
    <t>ID-00004</t>
  </si>
  <si>
    <t>Mohit Sharma</t>
  </si>
  <si>
    <t>mohitsharma@thebiman.com</t>
  </si>
  <si>
    <t>ID-00003</t>
  </si>
  <si>
    <t>Shiva Verma</t>
  </si>
  <si>
    <t>shivaverma@thebiman.com</t>
  </si>
  <si>
    <t>ID-00002</t>
  </si>
  <si>
    <t xml:space="preserve">     shiva verma</t>
  </si>
  <si>
    <t>ID-00001</t>
  </si>
  <si>
    <t xml:space="preserve">ravi roy     </t>
  </si>
  <si>
    <t>Last Name</t>
  </si>
  <si>
    <t>First Name</t>
  </si>
  <si>
    <t>Text Join</t>
  </si>
  <si>
    <t>Text After</t>
  </si>
  <si>
    <t>Text Before</t>
  </si>
  <si>
    <t>Email Ids</t>
  </si>
  <si>
    <t>Last Three</t>
  </si>
  <si>
    <t>Middle Two</t>
  </si>
  <si>
    <t>First Two</t>
  </si>
  <si>
    <t>Length</t>
  </si>
  <si>
    <t>Substitute</t>
  </si>
  <si>
    <t>First Letter Capital</t>
  </si>
  <si>
    <t>Small Letters</t>
  </si>
  <si>
    <t>Capital Letters</t>
  </si>
  <si>
    <t>Remove space</t>
  </si>
  <si>
    <t>Unit</t>
  </si>
  <si>
    <t>Description</t>
  </si>
  <si>
    <t>Example Output</t>
  </si>
  <si>
    <t>What it means</t>
  </si>
  <si>
    <t>DATEDIF(start_date, end_date, unit)</t>
  </si>
  <si>
    <t>"Y"</t>
  </si>
  <si>
    <t>Complete years</t>
  </si>
  <si>
    <t>"YM"</t>
  </si>
  <si>
    <r>
      <rPr>
        <sz val="10"/>
        <color theme="1"/>
        <rFont val="Arial"/>
      </rPr>
      <t xml:space="preserve">Months </t>
    </r>
    <r>
      <rPr>
        <b/>
        <sz val="10"/>
        <color theme="1"/>
        <rFont val="Arial"/>
      </rPr>
      <t>ignoring years</t>
    </r>
  </si>
  <si>
    <t>Difference in months after subtracting years (Jan → Mar = 2 months)</t>
  </si>
  <si>
    <t>DATEDIF(A1,B1,"Y") &amp; " years " &amp; DATEDIF(A1,B1,"YM") &amp; " months " &amp; DATEDIF(A1,B1,"MD") &amp; " days"</t>
  </si>
  <si>
    <t>"M"</t>
  </si>
  <si>
    <t>Complete months</t>
  </si>
  <si>
    <t>"MD"</t>
  </si>
  <si>
    <r>
      <rPr>
        <sz val="10"/>
        <color theme="1"/>
        <rFont val="Arial"/>
      </rPr>
      <t xml:space="preserve">Days </t>
    </r>
    <r>
      <rPr>
        <b/>
        <sz val="10"/>
        <color theme="1"/>
        <rFont val="Arial"/>
      </rPr>
      <t>ignoring months &amp; years</t>
    </r>
  </si>
  <si>
    <t>Remaining days after subtracting years and months (15th → 27th = 12 days)</t>
  </si>
  <si>
    <t>3 years 2 months 12 days</t>
  </si>
  <si>
    <t>"D"</t>
  </si>
  <si>
    <t>Days</t>
  </si>
  <si>
    <t>"YD"</t>
  </si>
  <si>
    <r>
      <rPr>
        <sz val="10"/>
        <color theme="1"/>
        <rFont val="Arial"/>
      </rPr>
      <t xml:space="preserve">Days </t>
    </r>
    <r>
      <rPr>
        <b/>
        <sz val="10"/>
        <color theme="1"/>
        <rFont val="Arial"/>
      </rPr>
      <t>ignoring years</t>
    </r>
  </si>
  <si>
    <r>
      <rPr>
        <sz val="10"/>
        <color theme="1"/>
        <rFont val="Arial"/>
      </rPr>
      <t xml:space="preserve">Days difference from Jan 15 to Mar 27 in the </t>
    </r>
    <r>
      <rPr>
        <b/>
        <sz val="10"/>
        <color theme="1"/>
        <rFont val="Arial"/>
      </rPr>
      <t>same year</t>
    </r>
    <r>
      <rPr>
        <sz val="10"/>
        <color theme="1"/>
        <rFont val="Arial"/>
      </rPr>
      <t xml:space="preserve"> (2020)</t>
    </r>
  </si>
  <si>
    <t>Days, ignoring months and years</t>
  </si>
  <si>
    <t>Months, ignoring years</t>
  </si>
  <si>
    <t>Days, ignoring years</t>
  </si>
  <si>
    <t>Holiday's</t>
  </si>
  <si>
    <t>Labor Day</t>
  </si>
  <si>
    <t>Eid-ul-Fitar</t>
  </si>
  <si>
    <t>Independence Day</t>
  </si>
  <si>
    <t>Eid ul-Adha</t>
  </si>
  <si>
    <t>Raksha Bandhan</t>
  </si>
  <si>
    <t>Janmashtami</t>
  </si>
  <si>
    <t>Muharram</t>
  </si>
  <si>
    <t>Gandhi Jayanti</t>
  </si>
  <si>
    <t>Dussehra</t>
  </si>
  <si>
    <t>Diwali</t>
  </si>
  <si>
    <t>Guru Nanak Birthday</t>
  </si>
  <si>
    <t>Christmas</t>
  </si>
  <si>
    <t>New Year</t>
  </si>
  <si>
    <t>Republic Day</t>
  </si>
  <si>
    <t>Holi</t>
  </si>
  <si>
    <t>DATEDIF</t>
  </si>
  <si>
    <t>raviroy</t>
  </si>
  <si>
    <t>thebiman.com</t>
  </si>
  <si>
    <t>Rupa</t>
  </si>
  <si>
    <t>Deepak</t>
  </si>
  <si>
    <t>Babu</t>
  </si>
  <si>
    <t>Jalal</t>
  </si>
  <si>
    <t>Rohit</t>
  </si>
  <si>
    <t>IDter</t>
  </si>
  <si>
    <t>Juhi</t>
  </si>
  <si>
    <t>Kareena</t>
  </si>
  <si>
    <t>Rahul</t>
  </si>
  <si>
    <t>Manav</t>
  </si>
  <si>
    <t>Alok</t>
  </si>
  <si>
    <t>Manoj</t>
  </si>
  <si>
    <t>Aryan</t>
  </si>
  <si>
    <t>Sameer</t>
  </si>
  <si>
    <t>Deep</t>
  </si>
  <si>
    <t>Swati</t>
  </si>
  <si>
    <t>Mayank</t>
  </si>
  <si>
    <t>Sophia</t>
  </si>
  <si>
    <t>Tarun</t>
  </si>
  <si>
    <t>Manish</t>
  </si>
  <si>
    <t>Nitin</t>
  </si>
  <si>
    <t>Depanshu</t>
  </si>
  <si>
    <t>Keshav</t>
  </si>
  <si>
    <t>Gaurav</t>
  </si>
  <si>
    <t>Ankit</t>
  </si>
  <si>
    <t>Divya</t>
  </si>
  <si>
    <t>Sonia</t>
  </si>
  <si>
    <t>Ruhi</t>
  </si>
  <si>
    <t>Jasmine</t>
  </si>
  <si>
    <t>Sahil</t>
  </si>
  <si>
    <t>Roy</t>
  </si>
  <si>
    <t>Verma</t>
  </si>
  <si>
    <t>Sharma</t>
  </si>
  <si>
    <t>Juneja</t>
  </si>
  <si>
    <t>Mehra</t>
  </si>
  <si>
    <t>Singh</t>
  </si>
  <si>
    <t>Gulati</t>
  </si>
  <si>
    <t>Darshan</t>
  </si>
  <si>
    <t>Jain</t>
  </si>
  <si>
    <t>Gupta</t>
  </si>
  <si>
    <t>Kumar</t>
  </si>
  <si>
    <t>Suneja</t>
  </si>
  <si>
    <t>Concerned person</t>
  </si>
  <si>
    <t>Concerned Person</t>
  </si>
  <si>
    <t>TRIM</t>
  </si>
  <si>
    <t>UPPER</t>
  </si>
  <si>
    <t>LOWER</t>
  </si>
  <si>
    <t>PROPER</t>
  </si>
  <si>
    <t>SUBSTITUTE</t>
  </si>
  <si>
    <t>LENGTH</t>
  </si>
  <si>
    <t>LEFT</t>
  </si>
  <si>
    <t>MID,SEARCH</t>
  </si>
  <si>
    <t>RIGHT</t>
  </si>
  <si>
    <t>CONCAT</t>
  </si>
  <si>
    <t>LEFT,SEARCH</t>
  </si>
  <si>
    <t>RIGHT,SEARCH,LEN</t>
  </si>
  <si>
    <t>FLASHFILL CTRL+E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</si>
</sst>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m/yyyy"/>
    <numFmt numFmtId="165" formatCode="[$-F800]dddd\,\ mmmm\ dd\,\ yyyy"/>
    <numFmt numFmtId="166" formatCode="d/m/yyyy"/>
    <numFmt numFmtId="169" formatCode="dd/mmm/yyyy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Display"/>
      <family val="2"/>
    </font>
    <font>
      <b/>
      <sz val="11"/>
      <color theme="0"/>
      <name val="Calibri"/>
    </font>
    <font>
      <sz val="10"/>
      <color theme="1"/>
      <name val="Book Antiqua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0"/>
      <color theme="1"/>
      <name val="Arial"/>
    </font>
    <font>
      <sz val="10"/>
      <color theme="1"/>
      <name val="Arimo"/>
    </font>
    <font>
      <b/>
      <sz val="12"/>
      <color theme="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89999084444715716"/>
        <bgColor rgb="FF44546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2" xfId="0" applyFont="1" applyBorder="1"/>
    <xf numFmtId="165" fontId="5" fillId="0" borderId="2" xfId="0" applyNumberFormat="1" applyFont="1" applyBorder="1"/>
    <xf numFmtId="166" fontId="5" fillId="0" borderId="0" xfId="0" applyNumberFormat="1" applyFont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1"/>
    <xf numFmtId="0" fontId="9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9" fillId="0" borderId="6" xfId="1" applyFont="1" applyBorder="1" applyAlignment="1">
      <alignment horizontal="center" vertical="center" wrapText="1"/>
    </xf>
    <xf numFmtId="0" fontId="6" fillId="0" borderId="0" xfId="1" applyFont="1"/>
    <xf numFmtId="0" fontId="10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vertical="center" wrapText="1"/>
    </xf>
    <xf numFmtId="0" fontId="10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10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vertical="center" wrapText="1"/>
    </xf>
    <xf numFmtId="0" fontId="10" fillId="0" borderId="10" xfId="1" applyFont="1" applyBorder="1" applyAlignment="1">
      <alignment vertical="center" wrapText="1"/>
    </xf>
    <xf numFmtId="0" fontId="6" fillId="0" borderId="11" xfId="1" applyFont="1" applyBorder="1" applyAlignment="1">
      <alignment vertical="center" wrapText="1"/>
    </xf>
    <xf numFmtId="0" fontId="10" fillId="0" borderId="12" xfId="1" applyFont="1" applyBorder="1" applyAlignment="1">
      <alignment vertical="center" wrapText="1"/>
    </xf>
    <xf numFmtId="0" fontId="6" fillId="0" borderId="13" xfId="1" applyFont="1" applyBorder="1" applyAlignment="1">
      <alignment vertical="center" wrapText="1"/>
    </xf>
    <xf numFmtId="0" fontId="10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vertical="center" wrapText="1"/>
    </xf>
    <xf numFmtId="169" fontId="5" fillId="0" borderId="2" xfId="0" applyNumberFormat="1" applyFont="1" applyBorder="1"/>
    <xf numFmtId="0" fontId="11" fillId="3" borderId="2" xfId="0" applyFont="1" applyFill="1" applyBorder="1" applyAlignment="1">
      <alignment horizontal="center" vertical="center"/>
    </xf>
    <xf numFmtId="22" fontId="0" fillId="0" borderId="0" xfId="0" applyNumberFormat="1"/>
    <xf numFmtId="20" fontId="0" fillId="0" borderId="0" xfId="0" applyNumberFormat="1"/>
    <xf numFmtId="14" fontId="5" fillId="0" borderId="0" xfId="0" applyNumberFormat="1" applyFont="1"/>
    <xf numFmtId="0" fontId="7" fillId="0" borderId="0" xfId="1" applyBorder="1"/>
    <xf numFmtId="0" fontId="7" fillId="0" borderId="0" xfId="1" applyBorder="1" applyAlignment="1">
      <alignment horizontal="center" vertical="center"/>
    </xf>
    <xf numFmtId="0" fontId="7" fillId="0" borderId="0" xfId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5" fillId="0" borderId="0" xfId="1" applyFont="1" applyBorder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4" fillId="0" borderId="0" xfId="1" applyFont="1" applyBorder="1"/>
  </cellXfs>
  <cellStyles count="2">
    <cellStyle name="Normal" xfId="0" builtinId="0"/>
    <cellStyle name="Normal 2" xfId="1" xr:uid="{9F25A679-5C65-4E8E-B8E4-FBD005763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EE05-FD50-4C5E-8BB6-FB995AE4B9BC}">
  <dimension ref="A1:R213"/>
  <sheetViews>
    <sheetView tabSelected="1" topLeftCell="H1" workbookViewId="0">
      <selection activeCell="N21" sqref="N21"/>
    </sheetView>
  </sheetViews>
  <sheetFormatPr defaultRowHeight="14.4"/>
  <cols>
    <col min="1" max="1" width="9" bestFit="1" customWidth="1"/>
    <col min="2" max="2" width="14.6640625" bestFit="1" customWidth="1"/>
    <col min="3" max="3" width="10.44140625" bestFit="1" customWidth="1"/>
    <col min="4" max="4" width="12.109375" bestFit="1" customWidth="1"/>
    <col min="5" max="5" width="5" bestFit="1" customWidth="1"/>
    <col min="6" max="6" width="4.21875" bestFit="1" customWidth="1"/>
    <col min="7" max="7" width="6.77734375" bestFit="1" customWidth="1"/>
    <col min="9" max="9" width="12.44140625" bestFit="1" customWidth="1"/>
    <col min="10" max="10" width="12.21875" bestFit="1" customWidth="1"/>
    <col min="11" max="11" width="10.44140625" bestFit="1" customWidth="1"/>
    <col min="12" max="12" width="10.33203125" bestFit="1" customWidth="1"/>
    <col min="13" max="13" width="21.88671875" bestFit="1" customWidth="1"/>
    <col min="14" max="14" width="20.21875" bestFit="1" customWidth="1"/>
    <col min="17" max="17" width="11.88671875" bestFit="1" customWidth="1"/>
    <col min="18" max="18" width="18" bestFit="1" customWidth="1"/>
  </cols>
  <sheetData>
    <row r="1" spans="1:18" ht="15.6">
      <c r="A1" s="16" t="s">
        <v>19</v>
      </c>
      <c r="B1" s="16" t="s">
        <v>0</v>
      </c>
      <c r="C1" s="16" t="s">
        <v>20</v>
      </c>
      <c r="D1" s="17" t="s">
        <v>2</v>
      </c>
      <c r="E1" s="16" t="s">
        <v>1</v>
      </c>
      <c r="F1" s="16" t="s">
        <v>21</v>
      </c>
      <c r="G1" s="16" t="s">
        <v>22</v>
      </c>
      <c r="H1" s="18" t="s">
        <v>23</v>
      </c>
      <c r="I1" s="18" t="s">
        <v>24</v>
      </c>
      <c r="J1" s="16" t="s">
        <v>25</v>
      </c>
      <c r="K1" s="16" t="s">
        <v>26</v>
      </c>
      <c r="L1" s="18" t="s">
        <v>2</v>
      </c>
      <c r="M1" s="19" t="s">
        <v>27</v>
      </c>
      <c r="N1" s="1">
        <f ca="1">TODAY()</f>
        <v>45990</v>
      </c>
      <c r="Q1" s="41" t="s">
        <v>2</v>
      </c>
      <c r="R1" s="41" t="s">
        <v>657</v>
      </c>
    </row>
    <row r="2" spans="1:18">
      <c r="A2" s="11" t="s">
        <v>28</v>
      </c>
      <c r="B2" s="11" t="s">
        <v>29</v>
      </c>
      <c r="C2" s="11" t="s">
        <v>30</v>
      </c>
      <c r="D2" s="12">
        <v>44733</v>
      </c>
      <c r="E2" s="13">
        <f>YEAR(D2)</f>
        <v>2022</v>
      </c>
      <c r="F2" s="13">
        <f>DAY(D2)</f>
        <v>21</v>
      </c>
      <c r="G2" s="13">
        <f>MONTH(D2)</f>
        <v>6</v>
      </c>
      <c r="H2" s="13">
        <f>WEEKDAY(D2)</f>
        <v>3</v>
      </c>
      <c r="I2" s="13">
        <f>WEEKNUM(D2)</f>
        <v>26</v>
      </c>
      <c r="J2" s="14" t="str">
        <f>TEXT(D2,"mmmm")</f>
        <v>June</v>
      </c>
      <c r="K2" s="13" t="str">
        <f>TEXT(DAY(D2),"dddd")</f>
        <v>Saturday</v>
      </c>
      <c r="L2" s="15">
        <f>DATE(E2,G2,F2)</f>
        <v>44733</v>
      </c>
      <c r="M2" s="19" t="s">
        <v>31</v>
      </c>
      <c r="N2" s="42">
        <f ca="1">NOW()</f>
        <v>45990.661942245373</v>
      </c>
      <c r="Q2" s="40">
        <v>44682</v>
      </c>
      <c r="R2" s="13" t="s">
        <v>658</v>
      </c>
    </row>
    <row r="3" spans="1:18">
      <c r="A3" s="11" t="s">
        <v>32</v>
      </c>
      <c r="B3" s="11" t="s">
        <v>33</v>
      </c>
      <c r="C3" s="11" t="s">
        <v>34</v>
      </c>
      <c r="D3" s="12">
        <v>43689</v>
      </c>
      <c r="E3" s="13">
        <f t="shared" ref="E3:E66" si="0">YEAR(D3)</f>
        <v>2019</v>
      </c>
      <c r="F3" s="13">
        <f t="shared" ref="F3:F66" si="1">DAY(D3)</f>
        <v>12</v>
      </c>
      <c r="G3" s="13">
        <f t="shared" ref="G3:G66" si="2">MONTH(D3)</f>
        <v>8</v>
      </c>
      <c r="H3" s="13">
        <f t="shared" ref="H3:H66" si="3">WEEKDAY(D3)</f>
        <v>2</v>
      </c>
      <c r="I3" s="13">
        <f t="shared" ref="I3:I66" si="4">WEEKNUM(D3)</f>
        <v>33</v>
      </c>
      <c r="J3" s="14" t="str">
        <f t="shared" ref="J3:J66" si="5">TEXT(D3,"mmmm")</f>
        <v>August</v>
      </c>
      <c r="K3" s="13" t="str">
        <f t="shared" ref="K3:K66" si="6">TEXT(DAY(D3),"dddd")</f>
        <v>Thursday</v>
      </c>
      <c r="L3" s="15">
        <f t="shared" ref="L3:L66" si="7">DATE(E3,G3,F3)</f>
        <v>43689</v>
      </c>
      <c r="M3" s="19" t="s">
        <v>35</v>
      </c>
      <c r="N3" s="1">
        <v>45990</v>
      </c>
      <c r="Q3" s="40">
        <v>44728</v>
      </c>
      <c r="R3" s="13" t="s">
        <v>659</v>
      </c>
    </row>
    <row r="4" spans="1:18">
      <c r="A4" s="11" t="s">
        <v>36</v>
      </c>
      <c r="B4" s="11" t="s">
        <v>37</v>
      </c>
      <c r="C4" s="11" t="s">
        <v>38</v>
      </c>
      <c r="D4" s="12">
        <v>44656</v>
      </c>
      <c r="E4" s="13">
        <f t="shared" si="0"/>
        <v>2022</v>
      </c>
      <c r="F4" s="13">
        <f t="shared" si="1"/>
        <v>5</v>
      </c>
      <c r="G4" s="13">
        <f t="shared" si="2"/>
        <v>4</v>
      </c>
      <c r="H4" s="13">
        <f t="shared" si="3"/>
        <v>3</v>
      </c>
      <c r="I4" s="13">
        <f t="shared" si="4"/>
        <v>15</v>
      </c>
      <c r="J4" s="14" t="str">
        <f t="shared" si="5"/>
        <v>April</v>
      </c>
      <c r="K4" s="13" t="str">
        <f t="shared" si="6"/>
        <v>Thursday</v>
      </c>
      <c r="L4" s="15">
        <f t="shared" si="7"/>
        <v>44656</v>
      </c>
      <c r="M4" s="19" t="s">
        <v>39</v>
      </c>
      <c r="N4" s="43">
        <v>0.60624999999999996</v>
      </c>
      <c r="Q4" s="40">
        <v>44788</v>
      </c>
      <c r="R4" s="13" t="s">
        <v>660</v>
      </c>
    </row>
    <row r="5" spans="1:18">
      <c r="A5" s="11" t="s">
        <v>40</v>
      </c>
      <c r="B5" s="11" t="s">
        <v>41</v>
      </c>
      <c r="C5" s="11" t="s">
        <v>38</v>
      </c>
      <c r="D5" s="12">
        <v>44854</v>
      </c>
      <c r="E5" s="13">
        <f t="shared" si="0"/>
        <v>2022</v>
      </c>
      <c r="F5" s="13">
        <f t="shared" si="1"/>
        <v>20</v>
      </c>
      <c r="G5" s="13">
        <f t="shared" si="2"/>
        <v>10</v>
      </c>
      <c r="H5" s="13">
        <f t="shared" si="3"/>
        <v>5</v>
      </c>
      <c r="I5" s="13">
        <f t="shared" si="4"/>
        <v>43</v>
      </c>
      <c r="J5" s="14" t="str">
        <f t="shared" si="5"/>
        <v>October</v>
      </c>
      <c r="K5" s="13" t="str">
        <f t="shared" si="6"/>
        <v>Friday</v>
      </c>
      <c r="L5" s="15">
        <f t="shared" si="7"/>
        <v>44854</v>
      </c>
      <c r="M5" s="19" t="s">
        <v>42</v>
      </c>
      <c r="N5">
        <f ca="1">DATEDIF(L2,N1,"Y")</f>
        <v>3</v>
      </c>
      <c r="Q5" s="40">
        <v>44795</v>
      </c>
      <c r="R5" s="13" t="s">
        <v>661</v>
      </c>
    </row>
    <row r="6" spans="1:18">
      <c r="A6" s="11" t="s">
        <v>43</v>
      </c>
      <c r="B6" s="11" t="s">
        <v>44</v>
      </c>
      <c r="C6" s="11" t="s">
        <v>38</v>
      </c>
      <c r="D6" s="12">
        <v>44637</v>
      </c>
      <c r="E6" s="13">
        <f t="shared" si="0"/>
        <v>2022</v>
      </c>
      <c r="F6" s="13">
        <f t="shared" si="1"/>
        <v>17</v>
      </c>
      <c r="G6" s="13">
        <f t="shared" si="2"/>
        <v>3</v>
      </c>
      <c r="H6" s="13">
        <f t="shared" si="3"/>
        <v>5</v>
      </c>
      <c r="I6" s="13">
        <f t="shared" si="4"/>
        <v>12</v>
      </c>
      <c r="J6" s="14" t="str">
        <f t="shared" si="5"/>
        <v>March</v>
      </c>
      <c r="K6" s="13" t="str">
        <f t="shared" si="6"/>
        <v>Tuesday</v>
      </c>
      <c r="L6" s="15">
        <f t="shared" si="7"/>
        <v>44637</v>
      </c>
      <c r="M6" s="19" t="s">
        <v>42</v>
      </c>
      <c r="N6">
        <f ca="1">DATEDIF(L2,N1,"M")</f>
        <v>41</v>
      </c>
      <c r="Q6" s="40">
        <v>44799</v>
      </c>
      <c r="R6" s="13" t="s">
        <v>662</v>
      </c>
    </row>
    <row r="7" spans="1:18">
      <c r="A7" s="11" t="s">
        <v>45</v>
      </c>
      <c r="B7" s="11" t="s">
        <v>46</v>
      </c>
      <c r="C7" s="11" t="s">
        <v>34</v>
      </c>
      <c r="D7" s="12">
        <v>44610</v>
      </c>
      <c r="E7" s="13">
        <f t="shared" si="0"/>
        <v>2022</v>
      </c>
      <c r="F7" s="13">
        <f t="shared" si="1"/>
        <v>18</v>
      </c>
      <c r="G7" s="13">
        <f t="shared" si="2"/>
        <v>2</v>
      </c>
      <c r="H7" s="13">
        <f t="shared" si="3"/>
        <v>6</v>
      </c>
      <c r="I7" s="13">
        <f t="shared" si="4"/>
        <v>8</v>
      </c>
      <c r="J7" s="14" t="str">
        <f t="shared" si="5"/>
        <v>February</v>
      </c>
      <c r="K7" s="13" t="str">
        <f t="shared" si="6"/>
        <v>Wednesday</v>
      </c>
      <c r="L7" s="15">
        <f t="shared" si="7"/>
        <v>44610</v>
      </c>
      <c r="M7" s="19" t="s">
        <v>47</v>
      </c>
      <c r="N7">
        <f>NETWORKDAYS(M14,M15,Q2:Q16)</f>
        <v>230</v>
      </c>
      <c r="Q7" s="40">
        <v>44807</v>
      </c>
      <c r="R7" s="13" t="s">
        <v>663</v>
      </c>
    </row>
    <row r="8" spans="1:18">
      <c r="A8" s="11" t="s">
        <v>48</v>
      </c>
      <c r="B8" s="11" t="s">
        <v>49</v>
      </c>
      <c r="C8" s="11" t="s">
        <v>34</v>
      </c>
      <c r="D8" s="12">
        <v>44600</v>
      </c>
      <c r="E8" s="13">
        <f t="shared" si="0"/>
        <v>2022</v>
      </c>
      <c r="F8" s="13">
        <f t="shared" si="1"/>
        <v>8</v>
      </c>
      <c r="G8" s="13">
        <f t="shared" si="2"/>
        <v>2</v>
      </c>
      <c r="H8" s="13">
        <f t="shared" si="3"/>
        <v>3</v>
      </c>
      <c r="I8" s="13">
        <f t="shared" si="4"/>
        <v>7</v>
      </c>
      <c r="J8" s="14" t="str">
        <f t="shared" si="5"/>
        <v>February</v>
      </c>
      <c r="K8" s="13" t="str">
        <f t="shared" si="6"/>
        <v>Sunday</v>
      </c>
      <c r="L8" s="15">
        <f t="shared" si="7"/>
        <v>44600</v>
      </c>
      <c r="M8" s="19" t="s">
        <v>50</v>
      </c>
      <c r="N8">
        <f>NETWORKDAYS.INTL(M14,M15,11,Q2:Q16)</f>
        <v>276</v>
      </c>
      <c r="Q8" s="40">
        <v>44825</v>
      </c>
      <c r="R8" s="13" t="s">
        <v>664</v>
      </c>
    </row>
    <row r="9" spans="1:18">
      <c r="A9" s="11" t="s">
        <v>51</v>
      </c>
      <c r="B9" s="11" t="s">
        <v>52</v>
      </c>
      <c r="C9" s="11" t="s">
        <v>34</v>
      </c>
      <c r="D9" s="12">
        <v>44321</v>
      </c>
      <c r="E9" s="13">
        <f t="shared" si="0"/>
        <v>2021</v>
      </c>
      <c r="F9" s="13">
        <f t="shared" si="1"/>
        <v>5</v>
      </c>
      <c r="G9" s="13">
        <f t="shared" si="2"/>
        <v>5</v>
      </c>
      <c r="H9" s="13">
        <f t="shared" si="3"/>
        <v>4</v>
      </c>
      <c r="I9" s="13">
        <f t="shared" si="4"/>
        <v>19</v>
      </c>
      <c r="J9" s="14" t="str">
        <f t="shared" si="5"/>
        <v>May</v>
      </c>
      <c r="K9" s="13" t="str">
        <f t="shared" si="6"/>
        <v>Thursday</v>
      </c>
      <c r="L9" s="15">
        <f t="shared" si="7"/>
        <v>44321</v>
      </c>
      <c r="Q9" s="40">
        <v>44836</v>
      </c>
      <c r="R9" s="13" t="s">
        <v>665</v>
      </c>
    </row>
    <row r="10" spans="1:18">
      <c r="A10" s="11" t="s">
        <v>53</v>
      </c>
      <c r="B10" s="11" t="s">
        <v>54</v>
      </c>
      <c r="C10" s="11" t="s">
        <v>30</v>
      </c>
      <c r="D10" s="12">
        <v>44370</v>
      </c>
      <c r="E10" s="13">
        <f t="shared" si="0"/>
        <v>2021</v>
      </c>
      <c r="F10" s="13">
        <f t="shared" si="1"/>
        <v>23</v>
      </c>
      <c r="G10" s="13">
        <f t="shared" si="2"/>
        <v>6</v>
      </c>
      <c r="H10" s="13">
        <f t="shared" si="3"/>
        <v>4</v>
      </c>
      <c r="I10" s="13">
        <f t="shared" si="4"/>
        <v>26</v>
      </c>
      <c r="J10" s="14" t="str">
        <f t="shared" si="5"/>
        <v>June</v>
      </c>
      <c r="K10" s="13" t="str">
        <f t="shared" si="6"/>
        <v>Monday</v>
      </c>
      <c r="L10" s="15">
        <f t="shared" si="7"/>
        <v>44370</v>
      </c>
      <c r="M10" s="15"/>
      <c r="Q10" s="40">
        <v>44853</v>
      </c>
      <c r="R10" s="13" t="s">
        <v>666</v>
      </c>
    </row>
    <row r="11" spans="1:18">
      <c r="A11" s="11" t="s">
        <v>55</v>
      </c>
      <c r="B11" s="11" t="s">
        <v>29</v>
      </c>
      <c r="C11" s="11" t="s">
        <v>30</v>
      </c>
      <c r="D11" s="12">
        <v>44697</v>
      </c>
      <c r="E11" s="13">
        <f t="shared" si="0"/>
        <v>2022</v>
      </c>
      <c r="F11" s="13">
        <f t="shared" si="1"/>
        <v>16</v>
      </c>
      <c r="G11" s="13">
        <f t="shared" si="2"/>
        <v>5</v>
      </c>
      <c r="H11" s="13">
        <f t="shared" si="3"/>
        <v>2</v>
      </c>
      <c r="I11" s="13">
        <f t="shared" si="4"/>
        <v>21</v>
      </c>
      <c r="J11" s="14" t="str">
        <f t="shared" si="5"/>
        <v>May</v>
      </c>
      <c r="K11" s="13" t="str">
        <f t="shared" si="6"/>
        <v>Monday</v>
      </c>
      <c r="L11" s="15">
        <f t="shared" si="7"/>
        <v>44697</v>
      </c>
      <c r="Q11" s="40">
        <v>44872</v>
      </c>
      <c r="R11" s="13" t="s">
        <v>667</v>
      </c>
    </row>
    <row r="12" spans="1:18">
      <c r="A12" s="11" t="s">
        <v>56</v>
      </c>
      <c r="B12" s="11" t="s">
        <v>57</v>
      </c>
      <c r="C12" s="11" t="s">
        <v>58</v>
      </c>
      <c r="D12" s="12">
        <v>44791</v>
      </c>
      <c r="E12" s="13">
        <f t="shared" si="0"/>
        <v>2022</v>
      </c>
      <c r="F12" s="13">
        <f t="shared" si="1"/>
        <v>18</v>
      </c>
      <c r="G12" s="13">
        <f t="shared" si="2"/>
        <v>8</v>
      </c>
      <c r="H12" s="13">
        <f t="shared" si="3"/>
        <v>5</v>
      </c>
      <c r="I12" s="13">
        <f t="shared" si="4"/>
        <v>34</v>
      </c>
      <c r="J12" s="14" t="str">
        <f t="shared" si="5"/>
        <v>August</v>
      </c>
      <c r="K12" s="13" t="str">
        <f t="shared" si="6"/>
        <v>Wednesday</v>
      </c>
      <c r="L12" s="15">
        <f t="shared" si="7"/>
        <v>44791</v>
      </c>
      <c r="Q12" s="40">
        <v>44888</v>
      </c>
      <c r="R12" s="13" t="s">
        <v>668</v>
      </c>
    </row>
    <row r="13" spans="1:18">
      <c r="A13" s="11" t="s">
        <v>59</v>
      </c>
      <c r="B13" s="11" t="s">
        <v>60</v>
      </c>
      <c r="C13" s="11" t="s">
        <v>58</v>
      </c>
      <c r="D13" s="12">
        <v>44425</v>
      </c>
      <c r="E13" s="13">
        <f t="shared" si="0"/>
        <v>2021</v>
      </c>
      <c r="F13" s="13">
        <f t="shared" si="1"/>
        <v>17</v>
      </c>
      <c r="G13" s="13">
        <f t="shared" si="2"/>
        <v>8</v>
      </c>
      <c r="H13" s="13">
        <f t="shared" si="3"/>
        <v>3</v>
      </c>
      <c r="I13" s="13">
        <f t="shared" si="4"/>
        <v>34</v>
      </c>
      <c r="J13" s="14" t="str">
        <f t="shared" si="5"/>
        <v>August</v>
      </c>
      <c r="K13" s="13" t="str">
        <f t="shared" si="6"/>
        <v>Tuesday</v>
      </c>
      <c r="L13" s="15">
        <f t="shared" si="7"/>
        <v>44425</v>
      </c>
      <c r="Q13" s="40">
        <v>44920</v>
      </c>
      <c r="R13" s="13" t="s">
        <v>669</v>
      </c>
    </row>
    <row r="14" spans="1:18">
      <c r="A14" s="11" t="s">
        <v>61</v>
      </c>
      <c r="B14" s="11" t="s">
        <v>62</v>
      </c>
      <c r="C14" s="11" t="s">
        <v>58</v>
      </c>
      <c r="D14" s="12">
        <v>44475</v>
      </c>
      <c r="E14" s="13">
        <f t="shared" si="0"/>
        <v>2021</v>
      </c>
      <c r="F14" s="13">
        <f t="shared" si="1"/>
        <v>6</v>
      </c>
      <c r="G14" s="13">
        <f t="shared" si="2"/>
        <v>10</v>
      </c>
      <c r="H14" s="13">
        <f t="shared" si="3"/>
        <v>4</v>
      </c>
      <c r="I14" s="13">
        <f t="shared" si="4"/>
        <v>41</v>
      </c>
      <c r="J14" s="14" t="str">
        <f t="shared" si="5"/>
        <v>October</v>
      </c>
      <c r="K14" s="13" t="str">
        <f t="shared" si="6"/>
        <v>Friday</v>
      </c>
      <c r="L14" s="15">
        <f t="shared" si="7"/>
        <v>44475</v>
      </c>
      <c r="M14" s="44">
        <v>44682</v>
      </c>
      <c r="Q14" s="40">
        <v>44927</v>
      </c>
      <c r="R14" s="13" t="s">
        <v>670</v>
      </c>
    </row>
    <row r="15" spans="1:18">
      <c r="A15" s="11" t="s">
        <v>63</v>
      </c>
      <c r="B15" s="11" t="s">
        <v>64</v>
      </c>
      <c r="C15" s="11" t="s">
        <v>65</v>
      </c>
      <c r="D15" s="12">
        <v>44461</v>
      </c>
      <c r="E15" s="13">
        <f t="shared" si="0"/>
        <v>2021</v>
      </c>
      <c r="F15" s="13">
        <f t="shared" si="1"/>
        <v>22</v>
      </c>
      <c r="G15" s="13">
        <f t="shared" si="2"/>
        <v>9</v>
      </c>
      <c r="H15" s="13">
        <f t="shared" si="3"/>
        <v>4</v>
      </c>
      <c r="I15" s="13">
        <f t="shared" si="4"/>
        <v>39</v>
      </c>
      <c r="J15" s="14" t="str">
        <f t="shared" si="5"/>
        <v>September</v>
      </c>
      <c r="K15" s="13" t="str">
        <f t="shared" si="6"/>
        <v>Sunday</v>
      </c>
      <c r="L15" s="15">
        <f t="shared" si="7"/>
        <v>44461</v>
      </c>
      <c r="M15" s="44">
        <v>45016</v>
      </c>
      <c r="Q15" s="40">
        <v>44952</v>
      </c>
      <c r="R15" s="13" t="s">
        <v>671</v>
      </c>
    </row>
    <row r="16" spans="1:18">
      <c r="A16" s="11" t="s">
        <v>66</v>
      </c>
      <c r="B16" s="11" t="s">
        <v>67</v>
      </c>
      <c r="C16" s="11" t="s">
        <v>65</v>
      </c>
      <c r="D16" s="12">
        <v>44530</v>
      </c>
      <c r="E16" s="13">
        <f t="shared" si="0"/>
        <v>2021</v>
      </c>
      <c r="F16" s="13">
        <f t="shared" si="1"/>
        <v>30</v>
      </c>
      <c r="G16" s="13">
        <f t="shared" si="2"/>
        <v>11</v>
      </c>
      <c r="H16" s="13">
        <f t="shared" si="3"/>
        <v>3</v>
      </c>
      <c r="I16" s="13">
        <f t="shared" si="4"/>
        <v>49</v>
      </c>
      <c r="J16" s="14" t="str">
        <f t="shared" si="5"/>
        <v>November</v>
      </c>
      <c r="K16" s="13" t="str">
        <f t="shared" si="6"/>
        <v>Monday</v>
      </c>
      <c r="L16" s="15">
        <f t="shared" si="7"/>
        <v>44530</v>
      </c>
      <c r="Q16" s="40">
        <v>45006</v>
      </c>
      <c r="R16" s="13" t="s">
        <v>672</v>
      </c>
    </row>
    <row r="17" spans="1:14">
      <c r="A17" s="11" t="s">
        <v>68</v>
      </c>
      <c r="B17" s="11" t="s">
        <v>69</v>
      </c>
      <c r="C17" s="11" t="s">
        <v>65</v>
      </c>
      <c r="D17" s="12">
        <v>44523</v>
      </c>
      <c r="E17" s="13">
        <f t="shared" si="0"/>
        <v>2021</v>
      </c>
      <c r="F17" s="13">
        <f t="shared" si="1"/>
        <v>23</v>
      </c>
      <c r="G17" s="13">
        <f t="shared" si="2"/>
        <v>11</v>
      </c>
      <c r="H17" s="13">
        <f t="shared" si="3"/>
        <v>3</v>
      </c>
      <c r="I17" s="13">
        <f t="shared" si="4"/>
        <v>48</v>
      </c>
      <c r="J17" s="14" t="str">
        <f t="shared" si="5"/>
        <v>November</v>
      </c>
      <c r="K17" s="13" t="str">
        <f t="shared" si="6"/>
        <v>Monday</v>
      </c>
      <c r="L17" s="15">
        <f t="shared" si="7"/>
        <v>44523</v>
      </c>
    </row>
    <row r="18" spans="1:14">
      <c r="A18" s="11" t="s">
        <v>70</v>
      </c>
      <c r="B18" s="11" t="s">
        <v>71</v>
      </c>
      <c r="C18" s="11" t="s">
        <v>65</v>
      </c>
      <c r="D18" s="12">
        <v>44939</v>
      </c>
      <c r="E18" s="13">
        <f t="shared" si="0"/>
        <v>2023</v>
      </c>
      <c r="F18" s="13">
        <f t="shared" si="1"/>
        <v>13</v>
      </c>
      <c r="G18" s="13">
        <f t="shared" si="2"/>
        <v>1</v>
      </c>
      <c r="H18" s="13">
        <f t="shared" si="3"/>
        <v>6</v>
      </c>
      <c r="I18" s="13">
        <f t="shared" si="4"/>
        <v>2</v>
      </c>
      <c r="J18" s="14" t="str">
        <f t="shared" si="5"/>
        <v>January</v>
      </c>
      <c r="K18" s="13" t="str">
        <f t="shared" si="6"/>
        <v>Friday</v>
      </c>
      <c r="L18" s="15">
        <f t="shared" si="7"/>
        <v>44939</v>
      </c>
    </row>
    <row r="19" spans="1:14">
      <c r="A19" s="11" t="s">
        <v>72</v>
      </c>
      <c r="B19" s="11" t="s">
        <v>73</v>
      </c>
      <c r="C19" s="11" t="s">
        <v>65</v>
      </c>
      <c r="D19" s="12">
        <v>44631</v>
      </c>
      <c r="E19" s="13">
        <f t="shared" si="0"/>
        <v>2022</v>
      </c>
      <c r="F19" s="13">
        <f t="shared" si="1"/>
        <v>11</v>
      </c>
      <c r="G19" s="13">
        <f t="shared" si="2"/>
        <v>3</v>
      </c>
      <c r="H19" s="13">
        <f t="shared" si="3"/>
        <v>6</v>
      </c>
      <c r="I19" s="13">
        <f t="shared" si="4"/>
        <v>11</v>
      </c>
      <c r="J19" s="14" t="str">
        <f t="shared" si="5"/>
        <v>March</v>
      </c>
      <c r="K19" s="13" t="str">
        <f t="shared" si="6"/>
        <v>Wednesday</v>
      </c>
      <c r="L19" s="15">
        <f t="shared" si="7"/>
        <v>44631</v>
      </c>
    </row>
    <row r="20" spans="1:14">
      <c r="A20" s="11" t="s">
        <v>74</v>
      </c>
      <c r="B20" s="11" t="s">
        <v>75</v>
      </c>
      <c r="C20" s="11" t="s">
        <v>58</v>
      </c>
      <c r="D20" s="12">
        <v>44931</v>
      </c>
      <c r="E20" s="13">
        <f t="shared" si="0"/>
        <v>2023</v>
      </c>
      <c r="F20" s="13">
        <f t="shared" si="1"/>
        <v>5</v>
      </c>
      <c r="G20" s="13">
        <f t="shared" si="2"/>
        <v>1</v>
      </c>
      <c r="H20" s="13">
        <f t="shared" si="3"/>
        <v>5</v>
      </c>
      <c r="I20" s="13">
        <f t="shared" si="4"/>
        <v>1</v>
      </c>
      <c r="J20" s="14" t="str">
        <f t="shared" si="5"/>
        <v>January</v>
      </c>
      <c r="K20" s="13" t="str">
        <f t="shared" si="6"/>
        <v>Thursday</v>
      </c>
      <c r="L20" s="15">
        <f t="shared" si="7"/>
        <v>44931</v>
      </c>
      <c r="M20" t="s">
        <v>673</v>
      </c>
      <c r="N20" t="str">
        <f ca="1">DATEDIF(L2,N1,"Y")&amp;" Year "&amp;DATEDIF(L2,N1,"YM")&amp;" Months "&amp;DATEDIF(L2,N1,"MD")&amp;" Days"</f>
        <v>3 Year 5 Months 8 Days</v>
      </c>
    </row>
    <row r="21" spans="1:14">
      <c r="A21" s="11" t="s">
        <v>76</v>
      </c>
      <c r="B21" s="11" t="s">
        <v>77</v>
      </c>
      <c r="C21" s="11" t="s">
        <v>38</v>
      </c>
      <c r="D21" s="12">
        <v>44441</v>
      </c>
      <c r="E21" s="13">
        <f t="shared" si="0"/>
        <v>2021</v>
      </c>
      <c r="F21" s="13">
        <f t="shared" si="1"/>
        <v>2</v>
      </c>
      <c r="G21" s="13">
        <f t="shared" si="2"/>
        <v>9</v>
      </c>
      <c r="H21" s="13">
        <f t="shared" si="3"/>
        <v>5</v>
      </c>
      <c r="I21" s="13">
        <f t="shared" si="4"/>
        <v>36</v>
      </c>
      <c r="J21" s="14" t="str">
        <f t="shared" si="5"/>
        <v>September</v>
      </c>
      <c r="K21" s="13" t="str">
        <f t="shared" si="6"/>
        <v>Monday</v>
      </c>
      <c r="L21" s="15">
        <f t="shared" si="7"/>
        <v>44441</v>
      </c>
    </row>
    <row r="22" spans="1:14">
      <c r="A22" s="11" t="s">
        <v>78</v>
      </c>
      <c r="B22" s="11" t="s">
        <v>79</v>
      </c>
      <c r="C22" s="11" t="s">
        <v>38</v>
      </c>
      <c r="D22" s="12">
        <v>44594</v>
      </c>
      <c r="E22" s="13">
        <f t="shared" si="0"/>
        <v>2022</v>
      </c>
      <c r="F22" s="13">
        <f t="shared" si="1"/>
        <v>2</v>
      </c>
      <c r="G22" s="13">
        <f t="shared" si="2"/>
        <v>2</v>
      </c>
      <c r="H22" s="13">
        <f t="shared" si="3"/>
        <v>4</v>
      </c>
      <c r="I22" s="13">
        <f t="shared" si="4"/>
        <v>6</v>
      </c>
      <c r="J22" s="14" t="str">
        <f t="shared" si="5"/>
        <v>February</v>
      </c>
      <c r="K22" s="13" t="str">
        <f t="shared" si="6"/>
        <v>Monday</v>
      </c>
      <c r="L22" s="15">
        <f t="shared" si="7"/>
        <v>44594</v>
      </c>
    </row>
    <row r="23" spans="1:14">
      <c r="A23" s="11" t="s">
        <v>80</v>
      </c>
      <c r="B23" s="11" t="s">
        <v>81</v>
      </c>
      <c r="C23" s="11" t="s">
        <v>30</v>
      </c>
      <c r="D23" s="12">
        <v>44740</v>
      </c>
      <c r="E23" s="13">
        <f t="shared" si="0"/>
        <v>2022</v>
      </c>
      <c r="F23" s="13">
        <f t="shared" si="1"/>
        <v>28</v>
      </c>
      <c r="G23" s="13">
        <f t="shared" si="2"/>
        <v>6</v>
      </c>
      <c r="H23" s="13">
        <f t="shared" si="3"/>
        <v>3</v>
      </c>
      <c r="I23" s="13">
        <f t="shared" si="4"/>
        <v>27</v>
      </c>
      <c r="J23" s="14" t="str">
        <f t="shared" si="5"/>
        <v>June</v>
      </c>
      <c r="K23" s="13" t="str">
        <f t="shared" si="6"/>
        <v>Saturday</v>
      </c>
      <c r="L23" s="15">
        <f t="shared" si="7"/>
        <v>44740</v>
      </c>
    </row>
    <row r="24" spans="1:14">
      <c r="A24" s="11" t="s">
        <v>82</v>
      </c>
      <c r="B24" s="11" t="s">
        <v>83</v>
      </c>
      <c r="C24" s="11" t="s">
        <v>34</v>
      </c>
      <c r="D24" s="12">
        <v>44435</v>
      </c>
      <c r="E24" s="13">
        <f t="shared" si="0"/>
        <v>2021</v>
      </c>
      <c r="F24" s="13">
        <f t="shared" si="1"/>
        <v>27</v>
      </c>
      <c r="G24" s="13">
        <f t="shared" si="2"/>
        <v>8</v>
      </c>
      <c r="H24" s="13">
        <f t="shared" si="3"/>
        <v>6</v>
      </c>
      <c r="I24" s="13">
        <f t="shared" si="4"/>
        <v>35</v>
      </c>
      <c r="J24" s="14" t="str">
        <f t="shared" si="5"/>
        <v>August</v>
      </c>
      <c r="K24" s="13" t="str">
        <f t="shared" si="6"/>
        <v>Friday</v>
      </c>
      <c r="L24" s="15">
        <f t="shared" si="7"/>
        <v>44435</v>
      </c>
    </row>
    <row r="25" spans="1:14">
      <c r="A25" s="11" t="s">
        <v>84</v>
      </c>
      <c r="B25" s="11" t="s">
        <v>85</v>
      </c>
      <c r="C25" s="11" t="s">
        <v>86</v>
      </c>
      <c r="D25" s="12">
        <v>44614</v>
      </c>
      <c r="E25" s="13">
        <f t="shared" si="0"/>
        <v>2022</v>
      </c>
      <c r="F25" s="13">
        <f t="shared" si="1"/>
        <v>22</v>
      </c>
      <c r="G25" s="13">
        <f t="shared" si="2"/>
        <v>2</v>
      </c>
      <c r="H25" s="13">
        <f t="shared" si="3"/>
        <v>3</v>
      </c>
      <c r="I25" s="13">
        <f t="shared" si="4"/>
        <v>9</v>
      </c>
      <c r="J25" s="14" t="str">
        <f t="shared" si="5"/>
        <v>February</v>
      </c>
      <c r="K25" s="13" t="str">
        <f t="shared" si="6"/>
        <v>Sunday</v>
      </c>
      <c r="L25" s="15">
        <f t="shared" si="7"/>
        <v>44614</v>
      </c>
    </row>
    <row r="26" spans="1:14">
      <c r="A26" s="11" t="s">
        <v>87</v>
      </c>
      <c r="B26" s="11" t="s">
        <v>88</v>
      </c>
      <c r="C26" s="11" t="s">
        <v>86</v>
      </c>
      <c r="D26" s="12">
        <v>44389</v>
      </c>
      <c r="E26" s="13">
        <f t="shared" si="0"/>
        <v>2021</v>
      </c>
      <c r="F26" s="13">
        <f t="shared" si="1"/>
        <v>12</v>
      </c>
      <c r="G26" s="13">
        <f t="shared" si="2"/>
        <v>7</v>
      </c>
      <c r="H26" s="13">
        <f t="shared" si="3"/>
        <v>2</v>
      </c>
      <c r="I26" s="13">
        <f t="shared" si="4"/>
        <v>29</v>
      </c>
      <c r="J26" s="14" t="str">
        <f t="shared" si="5"/>
        <v>July</v>
      </c>
      <c r="K26" s="13" t="str">
        <f t="shared" si="6"/>
        <v>Thursday</v>
      </c>
      <c r="L26" s="15">
        <f t="shared" si="7"/>
        <v>44389</v>
      </c>
    </row>
    <row r="27" spans="1:14">
      <c r="A27" s="11" t="s">
        <v>89</v>
      </c>
      <c r="B27" s="11" t="s">
        <v>90</v>
      </c>
      <c r="C27" s="11" t="s">
        <v>86</v>
      </c>
      <c r="D27" s="12">
        <v>44743</v>
      </c>
      <c r="E27" s="13">
        <f t="shared" si="0"/>
        <v>2022</v>
      </c>
      <c r="F27" s="13">
        <f t="shared" si="1"/>
        <v>1</v>
      </c>
      <c r="G27" s="13">
        <f t="shared" si="2"/>
        <v>7</v>
      </c>
      <c r="H27" s="13">
        <f t="shared" si="3"/>
        <v>6</v>
      </c>
      <c r="I27" s="13">
        <f t="shared" si="4"/>
        <v>27</v>
      </c>
      <c r="J27" s="14" t="str">
        <f t="shared" si="5"/>
        <v>July</v>
      </c>
      <c r="K27" s="13" t="str">
        <f t="shared" si="6"/>
        <v>Sunday</v>
      </c>
      <c r="L27" s="15">
        <f t="shared" si="7"/>
        <v>44743</v>
      </c>
    </row>
    <row r="28" spans="1:14">
      <c r="A28" s="11" t="s">
        <v>91</v>
      </c>
      <c r="B28" s="11" t="s">
        <v>73</v>
      </c>
      <c r="C28" s="11" t="s">
        <v>86</v>
      </c>
      <c r="D28" s="12">
        <v>44646</v>
      </c>
      <c r="E28" s="13">
        <f t="shared" si="0"/>
        <v>2022</v>
      </c>
      <c r="F28" s="13">
        <f t="shared" si="1"/>
        <v>26</v>
      </c>
      <c r="G28" s="13">
        <f t="shared" si="2"/>
        <v>3</v>
      </c>
      <c r="H28" s="13">
        <f t="shared" si="3"/>
        <v>7</v>
      </c>
      <c r="I28" s="13">
        <f t="shared" si="4"/>
        <v>13</v>
      </c>
      <c r="J28" s="14" t="str">
        <f t="shared" si="5"/>
        <v>March</v>
      </c>
      <c r="K28" s="13" t="str">
        <f t="shared" si="6"/>
        <v>Thursday</v>
      </c>
      <c r="L28" s="15">
        <f t="shared" si="7"/>
        <v>44646</v>
      </c>
    </row>
    <row r="29" spans="1:14">
      <c r="A29" s="11" t="s">
        <v>92</v>
      </c>
      <c r="B29" s="11" t="s">
        <v>93</v>
      </c>
      <c r="C29" s="11" t="s">
        <v>86</v>
      </c>
      <c r="D29" s="12">
        <v>44397</v>
      </c>
      <c r="E29" s="13">
        <f t="shared" si="0"/>
        <v>2021</v>
      </c>
      <c r="F29" s="13">
        <f t="shared" si="1"/>
        <v>20</v>
      </c>
      <c r="G29" s="13">
        <f t="shared" si="2"/>
        <v>7</v>
      </c>
      <c r="H29" s="13">
        <f t="shared" si="3"/>
        <v>3</v>
      </c>
      <c r="I29" s="13">
        <f t="shared" si="4"/>
        <v>30</v>
      </c>
      <c r="J29" s="14" t="str">
        <f t="shared" si="5"/>
        <v>July</v>
      </c>
      <c r="K29" s="13" t="str">
        <f t="shared" si="6"/>
        <v>Friday</v>
      </c>
      <c r="L29" s="15">
        <f t="shared" si="7"/>
        <v>44397</v>
      </c>
    </row>
    <row r="30" spans="1:14">
      <c r="A30" s="11" t="s">
        <v>94</v>
      </c>
      <c r="B30" s="11" t="s">
        <v>95</v>
      </c>
      <c r="C30" s="11" t="s">
        <v>86</v>
      </c>
      <c r="D30" s="12">
        <v>44300</v>
      </c>
      <c r="E30" s="13">
        <f t="shared" si="0"/>
        <v>2021</v>
      </c>
      <c r="F30" s="13">
        <f t="shared" si="1"/>
        <v>14</v>
      </c>
      <c r="G30" s="13">
        <f t="shared" si="2"/>
        <v>4</v>
      </c>
      <c r="H30" s="13">
        <f t="shared" si="3"/>
        <v>4</v>
      </c>
      <c r="I30" s="13">
        <f t="shared" si="4"/>
        <v>16</v>
      </c>
      <c r="J30" s="14" t="str">
        <f t="shared" si="5"/>
        <v>April</v>
      </c>
      <c r="K30" s="13" t="str">
        <f t="shared" si="6"/>
        <v>Saturday</v>
      </c>
      <c r="L30" s="15">
        <f t="shared" si="7"/>
        <v>44300</v>
      </c>
    </row>
    <row r="31" spans="1:14">
      <c r="A31" s="11" t="s">
        <v>96</v>
      </c>
      <c r="B31" s="11" t="s">
        <v>97</v>
      </c>
      <c r="C31" s="11" t="s">
        <v>65</v>
      </c>
      <c r="D31" s="12">
        <v>44860</v>
      </c>
      <c r="E31" s="13">
        <f t="shared" si="0"/>
        <v>2022</v>
      </c>
      <c r="F31" s="13">
        <f t="shared" si="1"/>
        <v>26</v>
      </c>
      <c r="G31" s="13">
        <f t="shared" si="2"/>
        <v>10</v>
      </c>
      <c r="H31" s="13">
        <f t="shared" si="3"/>
        <v>4</v>
      </c>
      <c r="I31" s="13">
        <f t="shared" si="4"/>
        <v>44</v>
      </c>
      <c r="J31" s="14" t="str">
        <f t="shared" si="5"/>
        <v>October</v>
      </c>
      <c r="K31" s="13" t="str">
        <f t="shared" si="6"/>
        <v>Thursday</v>
      </c>
      <c r="L31" s="15">
        <f t="shared" si="7"/>
        <v>44860</v>
      </c>
    </row>
    <row r="32" spans="1:14">
      <c r="A32" s="11" t="s">
        <v>98</v>
      </c>
      <c r="B32" s="11" t="s">
        <v>99</v>
      </c>
      <c r="C32" s="11" t="s">
        <v>65</v>
      </c>
      <c r="D32" s="12">
        <v>44386</v>
      </c>
      <c r="E32" s="13">
        <f t="shared" si="0"/>
        <v>2021</v>
      </c>
      <c r="F32" s="13">
        <f t="shared" si="1"/>
        <v>9</v>
      </c>
      <c r="G32" s="13">
        <f t="shared" si="2"/>
        <v>7</v>
      </c>
      <c r="H32" s="13">
        <f t="shared" si="3"/>
        <v>6</v>
      </c>
      <c r="I32" s="13">
        <f t="shared" si="4"/>
        <v>28</v>
      </c>
      <c r="J32" s="14" t="str">
        <f t="shared" si="5"/>
        <v>July</v>
      </c>
      <c r="K32" s="13" t="str">
        <f t="shared" si="6"/>
        <v>Monday</v>
      </c>
      <c r="L32" s="15">
        <f t="shared" si="7"/>
        <v>44386</v>
      </c>
    </row>
    <row r="33" spans="1:12">
      <c r="A33" s="11" t="s">
        <v>100</v>
      </c>
      <c r="B33" s="11" t="s">
        <v>101</v>
      </c>
      <c r="C33" s="11" t="s">
        <v>58</v>
      </c>
      <c r="D33" s="12">
        <v>44895</v>
      </c>
      <c r="E33" s="13">
        <f t="shared" si="0"/>
        <v>2022</v>
      </c>
      <c r="F33" s="13">
        <f t="shared" si="1"/>
        <v>30</v>
      </c>
      <c r="G33" s="13">
        <f t="shared" si="2"/>
        <v>11</v>
      </c>
      <c r="H33" s="13">
        <f t="shared" si="3"/>
        <v>4</v>
      </c>
      <c r="I33" s="13">
        <f t="shared" si="4"/>
        <v>49</v>
      </c>
      <c r="J33" s="14" t="str">
        <f t="shared" si="5"/>
        <v>November</v>
      </c>
      <c r="K33" s="13" t="str">
        <f t="shared" si="6"/>
        <v>Monday</v>
      </c>
      <c r="L33" s="15">
        <f t="shared" si="7"/>
        <v>44895</v>
      </c>
    </row>
    <row r="34" spans="1:12">
      <c r="A34" s="11" t="s">
        <v>102</v>
      </c>
      <c r="B34" s="11" t="s">
        <v>103</v>
      </c>
      <c r="C34" s="11" t="s">
        <v>34</v>
      </c>
      <c r="D34" s="12">
        <v>44515</v>
      </c>
      <c r="E34" s="13">
        <f t="shared" si="0"/>
        <v>2021</v>
      </c>
      <c r="F34" s="13">
        <f t="shared" si="1"/>
        <v>15</v>
      </c>
      <c r="G34" s="13">
        <f t="shared" si="2"/>
        <v>11</v>
      </c>
      <c r="H34" s="13">
        <f t="shared" si="3"/>
        <v>2</v>
      </c>
      <c r="I34" s="13">
        <f t="shared" si="4"/>
        <v>47</v>
      </c>
      <c r="J34" s="14" t="str">
        <f t="shared" si="5"/>
        <v>November</v>
      </c>
      <c r="K34" s="13" t="str">
        <f t="shared" si="6"/>
        <v>Sunday</v>
      </c>
      <c r="L34" s="15">
        <f t="shared" si="7"/>
        <v>44515</v>
      </c>
    </row>
    <row r="35" spans="1:12">
      <c r="A35" s="11" t="s">
        <v>104</v>
      </c>
      <c r="B35" s="11" t="s">
        <v>105</v>
      </c>
      <c r="C35" s="11" t="s">
        <v>30</v>
      </c>
      <c r="D35" s="12">
        <v>44777</v>
      </c>
      <c r="E35" s="13">
        <f t="shared" si="0"/>
        <v>2022</v>
      </c>
      <c r="F35" s="13">
        <f t="shared" si="1"/>
        <v>4</v>
      </c>
      <c r="G35" s="13">
        <f t="shared" si="2"/>
        <v>8</v>
      </c>
      <c r="H35" s="13">
        <f t="shared" si="3"/>
        <v>5</v>
      </c>
      <c r="I35" s="13">
        <f t="shared" si="4"/>
        <v>32</v>
      </c>
      <c r="J35" s="14" t="str">
        <f t="shared" si="5"/>
        <v>August</v>
      </c>
      <c r="K35" s="13" t="str">
        <f t="shared" si="6"/>
        <v>Wednesday</v>
      </c>
      <c r="L35" s="15">
        <f t="shared" si="7"/>
        <v>44777</v>
      </c>
    </row>
    <row r="36" spans="1:12">
      <c r="A36" s="11" t="s">
        <v>106</v>
      </c>
      <c r="B36" s="11" t="s">
        <v>107</v>
      </c>
      <c r="C36" s="11" t="s">
        <v>30</v>
      </c>
      <c r="D36" s="12">
        <v>44393</v>
      </c>
      <c r="E36" s="13">
        <f t="shared" si="0"/>
        <v>2021</v>
      </c>
      <c r="F36" s="13">
        <f t="shared" si="1"/>
        <v>16</v>
      </c>
      <c r="G36" s="13">
        <f t="shared" si="2"/>
        <v>7</v>
      </c>
      <c r="H36" s="13">
        <f t="shared" si="3"/>
        <v>6</v>
      </c>
      <c r="I36" s="13">
        <f t="shared" si="4"/>
        <v>29</v>
      </c>
      <c r="J36" s="14" t="str">
        <f t="shared" si="5"/>
        <v>July</v>
      </c>
      <c r="K36" s="13" t="str">
        <f t="shared" si="6"/>
        <v>Monday</v>
      </c>
      <c r="L36" s="15">
        <f t="shared" si="7"/>
        <v>44393</v>
      </c>
    </row>
    <row r="37" spans="1:12">
      <c r="A37" s="11" t="s">
        <v>108</v>
      </c>
      <c r="B37" s="11" t="s">
        <v>109</v>
      </c>
      <c r="C37" s="11" t="s">
        <v>30</v>
      </c>
      <c r="D37" s="12">
        <v>44753</v>
      </c>
      <c r="E37" s="13">
        <f t="shared" si="0"/>
        <v>2022</v>
      </c>
      <c r="F37" s="13">
        <f t="shared" si="1"/>
        <v>11</v>
      </c>
      <c r="G37" s="13">
        <f t="shared" si="2"/>
        <v>7</v>
      </c>
      <c r="H37" s="13">
        <f t="shared" si="3"/>
        <v>2</v>
      </c>
      <c r="I37" s="13">
        <f t="shared" si="4"/>
        <v>29</v>
      </c>
      <c r="J37" s="14" t="str">
        <f t="shared" si="5"/>
        <v>July</v>
      </c>
      <c r="K37" s="13" t="str">
        <f t="shared" si="6"/>
        <v>Wednesday</v>
      </c>
      <c r="L37" s="15">
        <f t="shared" si="7"/>
        <v>44753</v>
      </c>
    </row>
    <row r="38" spans="1:12">
      <c r="A38" s="11" t="s">
        <v>110</v>
      </c>
      <c r="B38" s="11" t="s">
        <v>111</v>
      </c>
      <c r="C38" s="11" t="s">
        <v>38</v>
      </c>
      <c r="D38" s="12">
        <v>44418</v>
      </c>
      <c r="E38" s="13">
        <f t="shared" si="0"/>
        <v>2021</v>
      </c>
      <c r="F38" s="13">
        <f t="shared" si="1"/>
        <v>10</v>
      </c>
      <c r="G38" s="13">
        <f t="shared" si="2"/>
        <v>8</v>
      </c>
      <c r="H38" s="13">
        <f t="shared" si="3"/>
        <v>3</v>
      </c>
      <c r="I38" s="13">
        <f t="shared" si="4"/>
        <v>33</v>
      </c>
      <c r="J38" s="14" t="str">
        <f t="shared" si="5"/>
        <v>August</v>
      </c>
      <c r="K38" s="13" t="str">
        <f t="shared" si="6"/>
        <v>Tuesday</v>
      </c>
      <c r="L38" s="15">
        <f t="shared" si="7"/>
        <v>44418</v>
      </c>
    </row>
    <row r="39" spans="1:12">
      <c r="A39" s="11" t="s">
        <v>112</v>
      </c>
      <c r="B39" s="11" t="s">
        <v>113</v>
      </c>
      <c r="C39" s="11" t="s">
        <v>38</v>
      </c>
      <c r="D39" s="12">
        <v>44351</v>
      </c>
      <c r="E39" s="13">
        <f t="shared" si="0"/>
        <v>2021</v>
      </c>
      <c r="F39" s="13">
        <f t="shared" si="1"/>
        <v>4</v>
      </c>
      <c r="G39" s="13">
        <f t="shared" si="2"/>
        <v>6</v>
      </c>
      <c r="H39" s="13">
        <f t="shared" si="3"/>
        <v>6</v>
      </c>
      <c r="I39" s="13">
        <f t="shared" si="4"/>
        <v>23</v>
      </c>
      <c r="J39" s="14" t="str">
        <f t="shared" si="5"/>
        <v>June</v>
      </c>
      <c r="K39" s="13" t="str">
        <f t="shared" si="6"/>
        <v>Wednesday</v>
      </c>
      <c r="L39" s="15">
        <f t="shared" si="7"/>
        <v>44351</v>
      </c>
    </row>
    <row r="40" spans="1:12">
      <c r="A40" s="11" t="s">
        <v>114</v>
      </c>
      <c r="B40" s="11" t="s">
        <v>115</v>
      </c>
      <c r="C40" s="11" t="s">
        <v>38</v>
      </c>
      <c r="D40" s="12">
        <v>44840</v>
      </c>
      <c r="E40" s="13">
        <f t="shared" si="0"/>
        <v>2022</v>
      </c>
      <c r="F40" s="13">
        <f t="shared" si="1"/>
        <v>6</v>
      </c>
      <c r="G40" s="13">
        <f t="shared" si="2"/>
        <v>10</v>
      </c>
      <c r="H40" s="13">
        <f t="shared" si="3"/>
        <v>5</v>
      </c>
      <c r="I40" s="13">
        <f t="shared" si="4"/>
        <v>41</v>
      </c>
      <c r="J40" s="14" t="str">
        <f t="shared" si="5"/>
        <v>October</v>
      </c>
      <c r="K40" s="13" t="str">
        <f t="shared" si="6"/>
        <v>Friday</v>
      </c>
      <c r="L40" s="15">
        <f t="shared" si="7"/>
        <v>44840</v>
      </c>
    </row>
    <row r="41" spans="1:12">
      <c r="A41" s="11" t="s">
        <v>116</v>
      </c>
      <c r="B41" s="11" t="s">
        <v>117</v>
      </c>
      <c r="C41" s="11" t="s">
        <v>38</v>
      </c>
      <c r="D41" s="12">
        <v>44726</v>
      </c>
      <c r="E41" s="13">
        <f t="shared" si="0"/>
        <v>2022</v>
      </c>
      <c r="F41" s="13">
        <f t="shared" si="1"/>
        <v>14</v>
      </c>
      <c r="G41" s="13">
        <f t="shared" si="2"/>
        <v>6</v>
      </c>
      <c r="H41" s="13">
        <f t="shared" si="3"/>
        <v>3</v>
      </c>
      <c r="I41" s="13">
        <f t="shared" si="4"/>
        <v>25</v>
      </c>
      <c r="J41" s="14" t="str">
        <f t="shared" si="5"/>
        <v>June</v>
      </c>
      <c r="K41" s="13" t="str">
        <f t="shared" si="6"/>
        <v>Saturday</v>
      </c>
      <c r="L41" s="15">
        <f t="shared" si="7"/>
        <v>44726</v>
      </c>
    </row>
    <row r="42" spans="1:12">
      <c r="A42" s="11" t="s">
        <v>118</v>
      </c>
      <c r="B42" s="11" t="s">
        <v>119</v>
      </c>
      <c r="C42" s="11" t="s">
        <v>38</v>
      </c>
      <c r="D42" s="12">
        <v>44737</v>
      </c>
      <c r="E42" s="13">
        <f t="shared" si="0"/>
        <v>2022</v>
      </c>
      <c r="F42" s="13">
        <f t="shared" si="1"/>
        <v>25</v>
      </c>
      <c r="G42" s="13">
        <f t="shared" si="2"/>
        <v>6</v>
      </c>
      <c r="H42" s="13">
        <f t="shared" si="3"/>
        <v>7</v>
      </c>
      <c r="I42" s="13">
        <f t="shared" si="4"/>
        <v>26</v>
      </c>
      <c r="J42" s="14" t="str">
        <f t="shared" si="5"/>
        <v>June</v>
      </c>
      <c r="K42" s="13" t="str">
        <f t="shared" si="6"/>
        <v>Wednesday</v>
      </c>
      <c r="L42" s="15">
        <f t="shared" si="7"/>
        <v>44737</v>
      </c>
    </row>
    <row r="43" spans="1:12">
      <c r="A43" s="11" t="s">
        <v>120</v>
      </c>
      <c r="B43" s="11" t="s">
        <v>121</v>
      </c>
      <c r="C43" s="11" t="s">
        <v>86</v>
      </c>
      <c r="D43" s="12">
        <v>44382</v>
      </c>
      <c r="E43" s="13">
        <f t="shared" si="0"/>
        <v>2021</v>
      </c>
      <c r="F43" s="13">
        <f t="shared" si="1"/>
        <v>5</v>
      </c>
      <c r="G43" s="13">
        <f t="shared" si="2"/>
        <v>7</v>
      </c>
      <c r="H43" s="13">
        <f t="shared" si="3"/>
        <v>2</v>
      </c>
      <c r="I43" s="13">
        <f t="shared" si="4"/>
        <v>28</v>
      </c>
      <c r="J43" s="14" t="str">
        <f t="shared" si="5"/>
        <v>July</v>
      </c>
      <c r="K43" s="13" t="str">
        <f t="shared" si="6"/>
        <v>Thursday</v>
      </c>
      <c r="L43" s="15">
        <f t="shared" si="7"/>
        <v>44382</v>
      </c>
    </row>
    <row r="44" spans="1:12">
      <c r="A44" s="11" t="s">
        <v>122</v>
      </c>
      <c r="B44" s="11" t="s">
        <v>123</v>
      </c>
      <c r="C44" s="11" t="s">
        <v>86</v>
      </c>
      <c r="D44" s="12">
        <v>44682</v>
      </c>
      <c r="E44" s="13">
        <f t="shared" si="0"/>
        <v>2022</v>
      </c>
      <c r="F44" s="13">
        <f t="shared" si="1"/>
        <v>1</v>
      </c>
      <c r="G44" s="13">
        <f t="shared" si="2"/>
        <v>5</v>
      </c>
      <c r="H44" s="13">
        <f t="shared" si="3"/>
        <v>1</v>
      </c>
      <c r="I44" s="13">
        <f t="shared" si="4"/>
        <v>19</v>
      </c>
      <c r="J44" s="14" t="str">
        <f t="shared" si="5"/>
        <v>May</v>
      </c>
      <c r="K44" s="13" t="str">
        <f t="shared" si="6"/>
        <v>Sunday</v>
      </c>
      <c r="L44" s="15">
        <f t="shared" si="7"/>
        <v>44682</v>
      </c>
    </row>
    <row r="45" spans="1:12">
      <c r="A45" s="11" t="s">
        <v>124</v>
      </c>
      <c r="B45" s="11" t="s">
        <v>125</v>
      </c>
      <c r="C45" s="11" t="s">
        <v>86</v>
      </c>
      <c r="D45" s="12">
        <v>44496</v>
      </c>
      <c r="E45" s="13">
        <f t="shared" si="0"/>
        <v>2021</v>
      </c>
      <c r="F45" s="13">
        <f t="shared" si="1"/>
        <v>27</v>
      </c>
      <c r="G45" s="13">
        <f t="shared" si="2"/>
        <v>10</v>
      </c>
      <c r="H45" s="13">
        <f t="shared" si="3"/>
        <v>4</v>
      </c>
      <c r="I45" s="13">
        <f t="shared" si="4"/>
        <v>44</v>
      </c>
      <c r="J45" s="14" t="str">
        <f t="shared" si="5"/>
        <v>October</v>
      </c>
      <c r="K45" s="13" t="str">
        <f t="shared" si="6"/>
        <v>Friday</v>
      </c>
      <c r="L45" s="15">
        <f t="shared" si="7"/>
        <v>44496</v>
      </c>
    </row>
    <row r="46" spans="1:12">
      <c r="A46" s="11" t="s">
        <v>126</v>
      </c>
      <c r="B46" s="11" t="s">
        <v>127</v>
      </c>
      <c r="C46" s="11" t="s">
        <v>86</v>
      </c>
      <c r="D46" s="12">
        <v>44561</v>
      </c>
      <c r="E46" s="13">
        <f t="shared" si="0"/>
        <v>2021</v>
      </c>
      <c r="F46" s="13">
        <f t="shared" si="1"/>
        <v>31</v>
      </c>
      <c r="G46" s="13">
        <f t="shared" si="2"/>
        <v>12</v>
      </c>
      <c r="H46" s="13">
        <f t="shared" si="3"/>
        <v>6</v>
      </c>
      <c r="I46" s="13">
        <f t="shared" si="4"/>
        <v>53</v>
      </c>
      <c r="J46" s="14" t="str">
        <f t="shared" si="5"/>
        <v>December</v>
      </c>
      <c r="K46" s="13" t="str">
        <f t="shared" si="6"/>
        <v>Tuesday</v>
      </c>
      <c r="L46" s="15">
        <f t="shared" si="7"/>
        <v>44561</v>
      </c>
    </row>
    <row r="47" spans="1:12">
      <c r="A47" s="11" t="s">
        <v>128</v>
      </c>
      <c r="B47" s="11" t="s">
        <v>129</v>
      </c>
      <c r="C47" s="11" t="s">
        <v>130</v>
      </c>
      <c r="D47" s="12">
        <v>44552</v>
      </c>
      <c r="E47" s="13">
        <f t="shared" si="0"/>
        <v>2021</v>
      </c>
      <c r="F47" s="13">
        <f t="shared" si="1"/>
        <v>22</v>
      </c>
      <c r="G47" s="13">
        <f t="shared" si="2"/>
        <v>12</v>
      </c>
      <c r="H47" s="13">
        <f t="shared" si="3"/>
        <v>4</v>
      </c>
      <c r="I47" s="13">
        <f t="shared" si="4"/>
        <v>52</v>
      </c>
      <c r="J47" s="14" t="str">
        <f t="shared" si="5"/>
        <v>December</v>
      </c>
      <c r="K47" s="13" t="str">
        <f t="shared" si="6"/>
        <v>Sunday</v>
      </c>
      <c r="L47" s="15">
        <f t="shared" si="7"/>
        <v>44552</v>
      </c>
    </row>
    <row r="48" spans="1:12">
      <c r="A48" s="11" t="s">
        <v>131</v>
      </c>
      <c r="B48" s="11" t="s">
        <v>132</v>
      </c>
      <c r="C48" s="11" t="s">
        <v>130</v>
      </c>
      <c r="D48" s="12">
        <v>44477</v>
      </c>
      <c r="E48" s="13">
        <f t="shared" si="0"/>
        <v>2021</v>
      </c>
      <c r="F48" s="13">
        <f t="shared" si="1"/>
        <v>8</v>
      </c>
      <c r="G48" s="13">
        <f t="shared" si="2"/>
        <v>10</v>
      </c>
      <c r="H48" s="13">
        <f t="shared" si="3"/>
        <v>6</v>
      </c>
      <c r="I48" s="13">
        <f t="shared" si="4"/>
        <v>41</v>
      </c>
      <c r="J48" s="14" t="str">
        <f t="shared" si="5"/>
        <v>October</v>
      </c>
      <c r="K48" s="13" t="str">
        <f t="shared" si="6"/>
        <v>Sunday</v>
      </c>
      <c r="L48" s="15">
        <f t="shared" si="7"/>
        <v>44477</v>
      </c>
    </row>
    <row r="49" spans="1:12">
      <c r="A49" s="11" t="s">
        <v>133</v>
      </c>
      <c r="B49" s="11" t="s">
        <v>134</v>
      </c>
      <c r="C49" s="11" t="s">
        <v>130</v>
      </c>
      <c r="D49" s="12">
        <v>44472</v>
      </c>
      <c r="E49" s="13">
        <f t="shared" si="0"/>
        <v>2021</v>
      </c>
      <c r="F49" s="13">
        <f t="shared" si="1"/>
        <v>3</v>
      </c>
      <c r="G49" s="13">
        <f t="shared" si="2"/>
        <v>10</v>
      </c>
      <c r="H49" s="13">
        <f t="shared" si="3"/>
        <v>1</v>
      </c>
      <c r="I49" s="13">
        <f t="shared" si="4"/>
        <v>41</v>
      </c>
      <c r="J49" s="14" t="str">
        <f t="shared" si="5"/>
        <v>October</v>
      </c>
      <c r="K49" s="13" t="str">
        <f t="shared" si="6"/>
        <v>Tuesday</v>
      </c>
      <c r="L49" s="15">
        <f t="shared" si="7"/>
        <v>44472</v>
      </c>
    </row>
    <row r="50" spans="1:12">
      <c r="A50" s="11" t="s">
        <v>135</v>
      </c>
      <c r="B50" s="11" t="s">
        <v>136</v>
      </c>
      <c r="C50" s="11" t="s">
        <v>130</v>
      </c>
      <c r="D50" s="12">
        <v>44301</v>
      </c>
      <c r="E50" s="13">
        <f t="shared" si="0"/>
        <v>2021</v>
      </c>
      <c r="F50" s="13">
        <f t="shared" si="1"/>
        <v>15</v>
      </c>
      <c r="G50" s="13">
        <f t="shared" si="2"/>
        <v>4</v>
      </c>
      <c r="H50" s="13">
        <f t="shared" si="3"/>
        <v>5</v>
      </c>
      <c r="I50" s="13">
        <f t="shared" si="4"/>
        <v>16</v>
      </c>
      <c r="J50" s="14" t="str">
        <f t="shared" si="5"/>
        <v>April</v>
      </c>
      <c r="K50" s="13" t="str">
        <f t="shared" si="6"/>
        <v>Sunday</v>
      </c>
      <c r="L50" s="15">
        <f t="shared" si="7"/>
        <v>44301</v>
      </c>
    </row>
    <row r="51" spans="1:12">
      <c r="A51" s="11" t="s">
        <v>137</v>
      </c>
      <c r="B51" s="11" t="s">
        <v>138</v>
      </c>
      <c r="C51" s="11" t="s">
        <v>65</v>
      </c>
      <c r="D51" s="12">
        <v>44607</v>
      </c>
      <c r="E51" s="13">
        <f t="shared" si="0"/>
        <v>2022</v>
      </c>
      <c r="F51" s="13">
        <f t="shared" si="1"/>
        <v>15</v>
      </c>
      <c r="G51" s="13">
        <f t="shared" si="2"/>
        <v>2</v>
      </c>
      <c r="H51" s="13">
        <f t="shared" si="3"/>
        <v>3</v>
      </c>
      <c r="I51" s="13">
        <f t="shared" si="4"/>
        <v>8</v>
      </c>
      <c r="J51" s="14" t="str">
        <f t="shared" si="5"/>
        <v>February</v>
      </c>
      <c r="K51" s="13" t="str">
        <f t="shared" si="6"/>
        <v>Sunday</v>
      </c>
      <c r="L51" s="15">
        <f t="shared" si="7"/>
        <v>44607</v>
      </c>
    </row>
    <row r="52" spans="1:12">
      <c r="A52" s="11" t="s">
        <v>139</v>
      </c>
      <c r="B52" s="11" t="s">
        <v>140</v>
      </c>
      <c r="C52" s="11" t="s">
        <v>65</v>
      </c>
      <c r="D52" s="12">
        <v>44489</v>
      </c>
      <c r="E52" s="13">
        <f t="shared" si="0"/>
        <v>2021</v>
      </c>
      <c r="F52" s="13">
        <f t="shared" si="1"/>
        <v>20</v>
      </c>
      <c r="G52" s="13">
        <f t="shared" si="2"/>
        <v>10</v>
      </c>
      <c r="H52" s="13">
        <f t="shared" si="3"/>
        <v>4</v>
      </c>
      <c r="I52" s="13">
        <f t="shared" si="4"/>
        <v>43</v>
      </c>
      <c r="J52" s="14" t="str">
        <f t="shared" si="5"/>
        <v>October</v>
      </c>
      <c r="K52" s="13" t="str">
        <f t="shared" si="6"/>
        <v>Friday</v>
      </c>
      <c r="L52" s="15">
        <f t="shared" si="7"/>
        <v>44489</v>
      </c>
    </row>
    <row r="53" spans="1:12">
      <c r="A53" s="11" t="s">
        <v>141</v>
      </c>
      <c r="B53" s="11" t="s">
        <v>142</v>
      </c>
      <c r="C53" s="11" t="s">
        <v>65</v>
      </c>
      <c r="D53" s="12">
        <v>44618</v>
      </c>
      <c r="E53" s="13">
        <f t="shared" si="0"/>
        <v>2022</v>
      </c>
      <c r="F53" s="13">
        <f t="shared" si="1"/>
        <v>26</v>
      </c>
      <c r="G53" s="13">
        <f t="shared" si="2"/>
        <v>2</v>
      </c>
      <c r="H53" s="13">
        <f t="shared" si="3"/>
        <v>7</v>
      </c>
      <c r="I53" s="13">
        <f t="shared" si="4"/>
        <v>9</v>
      </c>
      <c r="J53" s="14" t="str">
        <f t="shared" si="5"/>
        <v>February</v>
      </c>
      <c r="K53" s="13" t="str">
        <f t="shared" si="6"/>
        <v>Thursday</v>
      </c>
      <c r="L53" s="15">
        <f t="shared" si="7"/>
        <v>44618</v>
      </c>
    </row>
    <row r="54" spans="1:12">
      <c r="A54" s="11" t="s">
        <v>143</v>
      </c>
      <c r="B54" s="11" t="s">
        <v>144</v>
      </c>
      <c r="C54" s="11" t="s">
        <v>58</v>
      </c>
      <c r="D54" s="12">
        <v>44959</v>
      </c>
      <c r="E54" s="13">
        <f t="shared" si="0"/>
        <v>2023</v>
      </c>
      <c r="F54" s="13">
        <f t="shared" si="1"/>
        <v>2</v>
      </c>
      <c r="G54" s="13">
        <f t="shared" si="2"/>
        <v>2</v>
      </c>
      <c r="H54" s="13">
        <f t="shared" si="3"/>
        <v>5</v>
      </c>
      <c r="I54" s="13">
        <f t="shared" si="4"/>
        <v>5</v>
      </c>
      <c r="J54" s="14" t="str">
        <f t="shared" si="5"/>
        <v>February</v>
      </c>
      <c r="K54" s="13" t="str">
        <f t="shared" si="6"/>
        <v>Monday</v>
      </c>
      <c r="L54" s="15">
        <f t="shared" si="7"/>
        <v>44959</v>
      </c>
    </row>
    <row r="55" spans="1:12">
      <c r="A55" s="11" t="s">
        <v>145</v>
      </c>
      <c r="B55" s="11" t="s">
        <v>146</v>
      </c>
      <c r="C55" s="11" t="s">
        <v>58</v>
      </c>
      <c r="D55" s="12">
        <v>44375</v>
      </c>
      <c r="E55" s="13">
        <f t="shared" si="0"/>
        <v>2021</v>
      </c>
      <c r="F55" s="13">
        <f t="shared" si="1"/>
        <v>28</v>
      </c>
      <c r="G55" s="13">
        <f t="shared" si="2"/>
        <v>6</v>
      </c>
      <c r="H55" s="13">
        <f t="shared" si="3"/>
        <v>2</v>
      </c>
      <c r="I55" s="13">
        <f t="shared" si="4"/>
        <v>27</v>
      </c>
      <c r="J55" s="14" t="str">
        <f t="shared" si="5"/>
        <v>June</v>
      </c>
      <c r="K55" s="13" t="str">
        <f t="shared" si="6"/>
        <v>Saturday</v>
      </c>
      <c r="L55" s="15">
        <f t="shared" si="7"/>
        <v>44375</v>
      </c>
    </row>
    <row r="56" spans="1:12">
      <c r="A56" s="11" t="s">
        <v>147</v>
      </c>
      <c r="B56" s="11" t="s">
        <v>148</v>
      </c>
      <c r="C56" s="11" t="s">
        <v>58</v>
      </c>
      <c r="D56" s="12">
        <v>44802</v>
      </c>
      <c r="E56" s="13">
        <f t="shared" si="0"/>
        <v>2022</v>
      </c>
      <c r="F56" s="13">
        <f t="shared" si="1"/>
        <v>29</v>
      </c>
      <c r="G56" s="13">
        <f t="shared" si="2"/>
        <v>8</v>
      </c>
      <c r="H56" s="13">
        <f t="shared" si="3"/>
        <v>2</v>
      </c>
      <c r="I56" s="13">
        <f t="shared" si="4"/>
        <v>36</v>
      </c>
      <c r="J56" s="14" t="str">
        <f t="shared" si="5"/>
        <v>August</v>
      </c>
      <c r="K56" s="13" t="str">
        <f t="shared" si="6"/>
        <v>Sunday</v>
      </c>
      <c r="L56" s="15">
        <f t="shared" si="7"/>
        <v>44802</v>
      </c>
    </row>
    <row r="57" spans="1:12">
      <c r="A57" s="11" t="s">
        <v>149</v>
      </c>
      <c r="B57" s="11" t="s">
        <v>150</v>
      </c>
      <c r="C57" s="11" t="s">
        <v>30</v>
      </c>
      <c r="D57" s="12">
        <v>44880</v>
      </c>
      <c r="E57" s="13">
        <f t="shared" si="0"/>
        <v>2022</v>
      </c>
      <c r="F57" s="13">
        <f t="shared" si="1"/>
        <v>15</v>
      </c>
      <c r="G57" s="13">
        <f t="shared" si="2"/>
        <v>11</v>
      </c>
      <c r="H57" s="13">
        <f t="shared" si="3"/>
        <v>3</v>
      </c>
      <c r="I57" s="13">
        <f t="shared" si="4"/>
        <v>47</v>
      </c>
      <c r="J57" s="14" t="str">
        <f t="shared" si="5"/>
        <v>November</v>
      </c>
      <c r="K57" s="13" t="str">
        <f t="shared" si="6"/>
        <v>Sunday</v>
      </c>
      <c r="L57" s="15">
        <f t="shared" si="7"/>
        <v>44880</v>
      </c>
    </row>
    <row r="58" spans="1:12">
      <c r="A58" s="11" t="s">
        <v>151</v>
      </c>
      <c r="B58" s="11" t="s">
        <v>152</v>
      </c>
      <c r="C58" s="11" t="s">
        <v>30</v>
      </c>
      <c r="D58" s="12">
        <v>44993</v>
      </c>
      <c r="E58" s="13">
        <f t="shared" si="0"/>
        <v>2023</v>
      </c>
      <c r="F58" s="13">
        <f t="shared" si="1"/>
        <v>8</v>
      </c>
      <c r="G58" s="13">
        <f t="shared" si="2"/>
        <v>3</v>
      </c>
      <c r="H58" s="13">
        <f t="shared" si="3"/>
        <v>4</v>
      </c>
      <c r="I58" s="13">
        <f t="shared" si="4"/>
        <v>10</v>
      </c>
      <c r="J58" s="14" t="str">
        <f t="shared" si="5"/>
        <v>March</v>
      </c>
      <c r="K58" s="13" t="str">
        <f t="shared" si="6"/>
        <v>Sunday</v>
      </c>
      <c r="L58" s="15">
        <f t="shared" si="7"/>
        <v>44993</v>
      </c>
    </row>
    <row r="59" spans="1:12">
      <c r="A59" s="11" t="s">
        <v>153</v>
      </c>
      <c r="B59" s="11" t="s">
        <v>154</v>
      </c>
      <c r="C59" s="11" t="s">
        <v>30</v>
      </c>
      <c r="D59" s="12">
        <v>44357</v>
      </c>
      <c r="E59" s="13">
        <f t="shared" si="0"/>
        <v>2021</v>
      </c>
      <c r="F59" s="13">
        <f t="shared" si="1"/>
        <v>10</v>
      </c>
      <c r="G59" s="13">
        <f t="shared" si="2"/>
        <v>6</v>
      </c>
      <c r="H59" s="13">
        <f t="shared" si="3"/>
        <v>5</v>
      </c>
      <c r="I59" s="13">
        <f t="shared" si="4"/>
        <v>24</v>
      </c>
      <c r="J59" s="14" t="str">
        <f t="shared" si="5"/>
        <v>June</v>
      </c>
      <c r="K59" s="13" t="str">
        <f t="shared" si="6"/>
        <v>Tuesday</v>
      </c>
      <c r="L59" s="15">
        <f t="shared" si="7"/>
        <v>44357</v>
      </c>
    </row>
    <row r="60" spans="1:12">
      <c r="A60" s="11" t="s">
        <v>155</v>
      </c>
      <c r="B60" s="11" t="s">
        <v>156</v>
      </c>
      <c r="C60" s="11" t="s">
        <v>30</v>
      </c>
      <c r="D60" s="12">
        <v>44376</v>
      </c>
      <c r="E60" s="13">
        <f t="shared" si="0"/>
        <v>2021</v>
      </c>
      <c r="F60" s="13">
        <f t="shared" si="1"/>
        <v>29</v>
      </c>
      <c r="G60" s="13">
        <f t="shared" si="2"/>
        <v>6</v>
      </c>
      <c r="H60" s="13">
        <f t="shared" si="3"/>
        <v>3</v>
      </c>
      <c r="I60" s="13">
        <f t="shared" si="4"/>
        <v>27</v>
      </c>
      <c r="J60" s="14" t="str">
        <f t="shared" si="5"/>
        <v>June</v>
      </c>
      <c r="K60" s="13" t="str">
        <f t="shared" si="6"/>
        <v>Sunday</v>
      </c>
      <c r="L60" s="15">
        <f t="shared" si="7"/>
        <v>44376</v>
      </c>
    </row>
    <row r="61" spans="1:12">
      <c r="A61" s="11" t="s">
        <v>157</v>
      </c>
      <c r="B61" s="11" t="s">
        <v>158</v>
      </c>
      <c r="C61" s="11" t="s">
        <v>30</v>
      </c>
      <c r="D61" s="12">
        <v>44417</v>
      </c>
      <c r="E61" s="13">
        <f t="shared" si="0"/>
        <v>2021</v>
      </c>
      <c r="F61" s="13">
        <f t="shared" si="1"/>
        <v>9</v>
      </c>
      <c r="G61" s="13">
        <f t="shared" si="2"/>
        <v>8</v>
      </c>
      <c r="H61" s="13">
        <f t="shared" si="3"/>
        <v>2</v>
      </c>
      <c r="I61" s="13">
        <f t="shared" si="4"/>
        <v>33</v>
      </c>
      <c r="J61" s="14" t="str">
        <f t="shared" si="5"/>
        <v>August</v>
      </c>
      <c r="K61" s="13" t="str">
        <f t="shared" si="6"/>
        <v>Monday</v>
      </c>
      <c r="L61" s="15">
        <f t="shared" si="7"/>
        <v>44417</v>
      </c>
    </row>
    <row r="62" spans="1:12">
      <c r="A62" s="11" t="s">
        <v>159</v>
      </c>
      <c r="B62" s="11" t="s">
        <v>160</v>
      </c>
      <c r="C62" s="11" t="s">
        <v>30</v>
      </c>
      <c r="D62" s="12">
        <v>44379</v>
      </c>
      <c r="E62" s="13">
        <f t="shared" si="0"/>
        <v>2021</v>
      </c>
      <c r="F62" s="13">
        <f t="shared" si="1"/>
        <v>2</v>
      </c>
      <c r="G62" s="13">
        <f t="shared" si="2"/>
        <v>7</v>
      </c>
      <c r="H62" s="13">
        <f t="shared" si="3"/>
        <v>6</v>
      </c>
      <c r="I62" s="13">
        <f t="shared" si="4"/>
        <v>27</v>
      </c>
      <c r="J62" s="14" t="str">
        <f t="shared" si="5"/>
        <v>July</v>
      </c>
      <c r="K62" s="13" t="str">
        <f t="shared" si="6"/>
        <v>Monday</v>
      </c>
      <c r="L62" s="15">
        <f t="shared" si="7"/>
        <v>44379</v>
      </c>
    </row>
    <row r="63" spans="1:12">
      <c r="A63" s="11" t="s">
        <v>161</v>
      </c>
      <c r="B63" s="11" t="s">
        <v>162</v>
      </c>
      <c r="C63" s="11" t="s">
        <v>30</v>
      </c>
      <c r="D63" s="12">
        <v>44885</v>
      </c>
      <c r="E63" s="13">
        <f t="shared" si="0"/>
        <v>2022</v>
      </c>
      <c r="F63" s="13">
        <f t="shared" si="1"/>
        <v>20</v>
      </c>
      <c r="G63" s="13">
        <f t="shared" si="2"/>
        <v>11</v>
      </c>
      <c r="H63" s="13">
        <f t="shared" si="3"/>
        <v>1</v>
      </c>
      <c r="I63" s="13">
        <f t="shared" si="4"/>
        <v>48</v>
      </c>
      <c r="J63" s="14" t="str">
        <f t="shared" si="5"/>
        <v>November</v>
      </c>
      <c r="K63" s="13" t="str">
        <f t="shared" si="6"/>
        <v>Friday</v>
      </c>
      <c r="L63" s="15">
        <f t="shared" si="7"/>
        <v>44885</v>
      </c>
    </row>
    <row r="64" spans="1:12">
      <c r="A64" s="11" t="s">
        <v>163</v>
      </c>
      <c r="B64" s="11" t="s">
        <v>164</v>
      </c>
      <c r="C64" s="11" t="s">
        <v>30</v>
      </c>
      <c r="D64" s="12">
        <v>44625</v>
      </c>
      <c r="E64" s="13">
        <f t="shared" si="0"/>
        <v>2022</v>
      </c>
      <c r="F64" s="13">
        <f t="shared" si="1"/>
        <v>5</v>
      </c>
      <c r="G64" s="13">
        <f t="shared" si="2"/>
        <v>3</v>
      </c>
      <c r="H64" s="13">
        <f t="shared" si="3"/>
        <v>7</v>
      </c>
      <c r="I64" s="13">
        <f t="shared" si="4"/>
        <v>10</v>
      </c>
      <c r="J64" s="14" t="str">
        <f t="shared" si="5"/>
        <v>March</v>
      </c>
      <c r="K64" s="13" t="str">
        <f t="shared" si="6"/>
        <v>Thursday</v>
      </c>
      <c r="L64" s="15">
        <f t="shared" si="7"/>
        <v>44625</v>
      </c>
    </row>
    <row r="65" spans="1:12">
      <c r="A65" s="11" t="s">
        <v>165</v>
      </c>
      <c r="B65" s="11" t="s">
        <v>166</v>
      </c>
      <c r="C65" s="11" t="s">
        <v>30</v>
      </c>
      <c r="D65" s="12">
        <v>44835</v>
      </c>
      <c r="E65" s="13">
        <f t="shared" si="0"/>
        <v>2022</v>
      </c>
      <c r="F65" s="13">
        <f t="shared" si="1"/>
        <v>1</v>
      </c>
      <c r="G65" s="13">
        <f t="shared" si="2"/>
        <v>10</v>
      </c>
      <c r="H65" s="13">
        <f t="shared" si="3"/>
        <v>7</v>
      </c>
      <c r="I65" s="13">
        <f t="shared" si="4"/>
        <v>40</v>
      </c>
      <c r="J65" s="14" t="str">
        <f t="shared" si="5"/>
        <v>October</v>
      </c>
      <c r="K65" s="13" t="str">
        <f t="shared" si="6"/>
        <v>Sunday</v>
      </c>
      <c r="L65" s="15">
        <f t="shared" si="7"/>
        <v>44835</v>
      </c>
    </row>
    <row r="66" spans="1:12">
      <c r="A66" s="11" t="s">
        <v>167</v>
      </c>
      <c r="B66" s="11" t="s">
        <v>168</v>
      </c>
      <c r="C66" s="11" t="s">
        <v>30</v>
      </c>
      <c r="D66" s="12">
        <v>44624</v>
      </c>
      <c r="E66" s="13">
        <f t="shared" si="0"/>
        <v>2022</v>
      </c>
      <c r="F66" s="13">
        <f t="shared" si="1"/>
        <v>4</v>
      </c>
      <c r="G66" s="13">
        <f t="shared" si="2"/>
        <v>3</v>
      </c>
      <c r="H66" s="13">
        <f t="shared" si="3"/>
        <v>6</v>
      </c>
      <c r="I66" s="13">
        <f t="shared" si="4"/>
        <v>10</v>
      </c>
      <c r="J66" s="14" t="str">
        <f t="shared" si="5"/>
        <v>March</v>
      </c>
      <c r="K66" s="13" t="str">
        <f t="shared" si="6"/>
        <v>Wednesday</v>
      </c>
      <c r="L66" s="15">
        <f t="shared" si="7"/>
        <v>44624</v>
      </c>
    </row>
    <row r="67" spans="1:12">
      <c r="A67" s="11" t="s">
        <v>169</v>
      </c>
      <c r="B67" s="11" t="s">
        <v>170</v>
      </c>
      <c r="C67" s="11" t="s">
        <v>58</v>
      </c>
      <c r="D67" s="12">
        <v>44551</v>
      </c>
      <c r="E67" s="13">
        <f t="shared" ref="E67:E130" si="8">YEAR(D67)</f>
        <v>2021</v>
      </c>
      <c r="F67" s="13">
        <f t="shared" ref="F67:F130" si="9">DAY(D67)</f>
        <v>21</v>
      </c>
      <c r="G67" s="13">
        <f t="shared" ref="G67:G130" si="10">MONTH(D67)</f>
        <v>12</v>
      </c>
      <c r="H67" s="13">
        <f t="shared" ref="H67:H130" si="11">WEEKDAY(D67)</f>
        <v>3</v>
      </c>
      <c r="I67" s="13">
        <f t="shared" ref="I67:I130" si="12">WEEKNUM(D67)</f>
        <v>52</v>
      </c>
      <c r="J67" s="14" t="str">
        <f t="shared" ref="J67:J130" si="13">TEXT(D67,"mmmm")</f>
        <v>December</v>
      </c>
      <c r="K67" s="13" t="str">
        <f t="shared" ref="K67:K130" si="14">TEXT(DAY(D67),"dddd")</f>
        <v>Saturday</v>
      </c>
      <c r="L67" s="15">
        <f t="shared" ref="L67:L130" si="15">DATE(E67,G67,F67)</f>
        <v>44551</v>
      </c>
    </row>
    <row r="68" spans="1:12">
      <c r="A68" s="11" t="s">
        <v>171</v>
      </c>
      <c r="B68" s="11" t="s">
        <v>172</v>
      </c>
      <c r="C68" s="11" t="s">
        <v>130</v>
      </c>
      <c r="D68" s="12">
        <v>44913</v>
      </c>
      <c r="E68" s="13">
        <f t="shared" si="8"/>
        <v>2022</v>
      </c>
      <c r="F68" s="13">
        <f t="shared" si="9"/>
        <v>18</v>
      </c>
      <c r="G68" s="13">
        <f t="shared" si="10"/>
        <v>12</v>
      </c>
      <c r="H68" s="13">
        <f t="shared" si="11"/>
        <v>1</v>
      </c>
      <c r="I68" s="13">
        <f t="shared" si="12"/>
        <v>52</v>
      </c>
      <c r="J68" s="14" t="str">
        <f t="shared" si="13"/>
        <v>December</v>
      </c>
      <c r="K68" s="13" t="str">
        <f t="shared" si="14"/>
        <v>Wednesday</v>
      </c>
      <c r="L68" s="15">
        <f t="shared" si="15"/>
        <v>44913</v>
      </c>
    </row>
    <row r="69" spans="1:12">
      <c r="A69" s="11" t="s">
        <v>173</v>
      </c>
      <c r="B69" s="11" t="s">
        <v>174</v>
      </c>
      <c r="C69" s="11" t="s">
        <v>130</v>
      </c>
      <c r="D69" s="12">
        <v>44434</v>
      </c>
      <c r="E69" s="13">
        <f t="shared" si="8"/>
        <v>2021</v>
      </c>
      <c r="F69" s="13">
        <f t="shared" si="9"/>
        <v>26</v>
      </c>
      <c r="G69" s="13">
        <f t="shared" si="10"/>
        <v>8</v>
      </c>
      <c r="H69" s="13">
        <f t="shared" si="11"/>
        <v>5</v>
      </c>
      <c r="I69" s="13">
        <f t="shared" si="12"/>
        <v>35</v>
      </c>
      <c r="J69" s="14" t="str">
        <f t="shared" si="13"/>
        <v>August</v>
      </c>
      <c r="K69" s="13" t="str">
        <f t="shared" si="14"/>
        <v>Thursday</v>
      </c>
      <c r="L69" s="15">
        <f t="shared" si="15"/>
        <v>44434</v>
      </c>
    </row>
    <row r="70" spans="1:12">
      <c r="A70" s="11" t="s">
        <v>175</v>
      </c>
      <c r="B70" s="11" t="s">
        <v>176</v>
      </c>
      <c r="C70" s="11" t="s">
        <v>130</v>
      </c>
      <c r="D70" s="12">
        <v>44843</v>
      </c>
      <c r="E70" s="13">
        <f t="shared" si="8"/>
        <v>2022</v>
      </c>
      <c r="F70" s="13">
        <f t="shared" si="9"/>
        <v>9</v>
      </c>
      <c r="G70" s="13">
        <f t="shared" si="10"/>
        <v>10</v>
      </c>
      <c r="H70" s="13">
        <f t="shared" si="11"/>
        <v>1</v>
      </c>
      <c r="I70" s="13">
        <f t="shared" si="12"/>
        <v>42</v>
      </c>
      <c r="J70" s="14" t="str">
        <f t="shared" si="13"/>
        <v>October</v>
      </c>
      <c r="K70" s="13" t="str">
        <f t="shared" si="14"/>
        <v>Monday</v>
      </c>
      <c r="L70" s="15">
        <f t="shared" si="15"/>
        <v>44843</v>
      </c>
    </row>
    <row r="71" spans="1:12">
      <c r="A71" s="11" t="s">
        <v>177</v>
      </c>
      <c r="B71" s="11" t="s">
        <v>178</v>
      </c>
      <c r="C71" s="11" t="s">
        <v>130</v>
      </c>
      <c r="D71" s="12">
        <v>44687</v>
      </c>
      <c r="E71" s="13">
        <f t="shared" si="8"/>
        <v>2022</v>
      </c>
      <c r="F71" s="13">
        <f t="shared" si="9"/>
        <v>6</v>
      </c>
      <c r="G71" s="13">
        <f t="shared" si="10"/>
        <v>5</v>
      </c>
      <c r="H71" s="13">
        <f t="shared" si="11"/>
        <v>6</v>
      </c>
      <c r="I71" s="13">
        <f t="shared" si="12"/>
        <v>19</v>
      </c>
      <c r="J71" s="14" t="str">
        <f t="shared" si="13"/>
        <v>May</v>
      </c>
      <c r="K71" s="13" t="str">
        <f t="shared" si="14"/>
        <v>Friday</v>
      </c>
      <c r="L71" s="15">
        <f t="shared" si="15"/>
        <v>44687</v>
      </c>
    </row>
    <row r="72" spans="1:12">
      <c r="A72" s="11" t="s">
        <v>179</v>
      </c>
      <c r="B72" s="11" t="s">
        <v>180</v>
      </c>
      <c r="C72" s="11" t="s">
        <v>65</v>
      </c>
      <c r="D72" s="12">
        <v>44544</v>
      </c>
      <c r="E72" s="13">
        <f t="shared" si="8"/>
        <v>2021</v>
      </c>
      <c r="F72" s="13">
        <f t="shared" si="9"/>
        <v>14</v>
      </c>
      <c r="G72" s="13">
        <f t="shared" si="10"/>
        <v>12</v>
      </c>
      <c r="H72" s="13">
        <f t="shared" si="11"/>
        <v>3</v>
      </c>
      <c r="I72" s="13">
        <f t="shared" si="12"/>
        <v>51</v>
      </c>
      <c r="J72" s="14" t="str">
        <f t="shared" si="13"/>
        <v>December</v>
      </c>
      <c r="K72" s="13" t="str">
        <f t="shared" si="14"/>
        <v>Saturday</v>
      </c>
      <c r="L72" s="15">
        <f t="shared" si="15"/>
        <v>44544</v>
      </c>
    </row>
    <row r="73" spans="1:12">
      <c r="A73" s="11" t="s">
        <v>181</v>
      </c>
      <c r="B73" s="11" t="s">
        <v>182</v>
      </c>
      <c r="C73" s="11" t="s">
        <v>65</v>
      </c>
      <c r="D73" s="12">
        <v>44973</v>
      </c>
      <c r="E73" s="13">
        <f t="shared" si="8"/>
        <v>2023</v>
      </c>
      <c r="F73" s="13">
        <f t="shared" si="9"/>
        <v>16</v>
      </c>
      <c r="G73" s="13">
        <f t="shared" si="10"/>
        <v>2</v>
      </c>
      <c r="H73" s="13">
        <f t="shared" si="11"/>
        <v>5</v>
      </c>
      <c r="I73" s="13">
        <f t="shared" si="12"/>
        <v>7</v>
      </c>
      <c r="J73" s="14" t="str">
        <f t="shared" si="13"/>
        <v>February</v>
      </c>
      <c r="K73" s="13" t="str">
        <f t="shared" si="14"/>
        <v>Monday</v>
      </c>
      <c r="L73" s="15">
        <f t="shared" si="15"/>
        <v>44973</v>
      </c>
    </row>
    <row r="74" spans="1:12">
      <c r="A74" s="11" t="s">
        <v>183</v>
      </c>
      <c r="B74" s="11" t="s">
        <v>184</v>
      </c>
      <c r="C74" s="11" t="s">
        <v>65</v>
      </c>
      <c r="D74" s="12">
        <v>44354</v>
      </c>
      <c r="E74" s="13">
        <f t="shared" si="8"/>
        <v>2021</v>
      </c>
      <c r="F74" s="13">
        <f t="shared" si="9"/>
        <v>7</v>
      </c>
      <c r="G74" s="13">
        <f t="shared" si="10"/>
        <v>6</v>
      </c>
      <c r="H74" s="13">
        <f t="shared" si="11"/>
        <v>2</v>
      </c>
      <c r="I74" s="13">
        <f t="shared" si="12"/>
        <v>24</v>
      </c>
      <c r="J74" s="14" t="str">
        <f t="shared" si="13"/>
        <v>June</v>
      </c>
      <c r="K74" s="13" t="str">
        <f t="shared" si="14"/>
        <v>Saturday</v>
      </c>
      <c r="L74" s="15">
        <f t="shared" si="15"/>
        <v>44354</v>
      </c>
    </row>
    <row r="75" spans="1:12">
      <c r="A75" s="11" t="s">
        <v>185</v>
      </c>
      <c r="B75" s="11" t="s">
        <v>186</v>
      </c>
      <c r="C75" s="11" t="s">
        <v>58</v>
      </c>
      <c r="D75" s="12">
        <v>44673</v>
      </c>
      <c r="E75" s="13">
        <f t="shared" si="8"/>
        <v>2022</v>
      </c>
      <c r="F75" s="13">
        <f t="shared" si="9"/>
        <v>22</v>
      </c>
      <c r="G75" s="13">
        <f t="shared" si="10"/>
        <v>4</v>
      </c>
      <c r="H75" s="13">
        <f t="shared" si="11"/>
        <v>6</v>
      </c>
      <c r="I75" s="13">
        <f t="shared" si="12"/>
        <v>17</v>
      </c>
      <c r="J75" s="14" t="str">
        <f t="shared" si="13"/>
        <v>April</v>
      </c>
      <c r="K75" s="13" t="str">
        <f t="shared" si="14"/>
        <v>Sunday</v>
      </c>
      <c r="L75" s="15">
        <f t="shared" si="15"/>
        <v>44673</v>
      </c>
    </row>
    <row r="76" spans="1:12">
      <c r="A76" s="11" t="s">
        <v>187</v>
      </c>
      <c r="B76" s="11" t="s">
        <v>188</v>
      </c>
      <c r="C76" s="11" t="s">
        <v>58</v>
      </c>
      <c r="D76" s="12">
        <v>44480</v>
      </c>
      <c r="E76" s="13">
        <f t="shared" si="8"/>
        <v>2021</v>
      </c>
      <c r="F76" s="13">
        <f t="shared" si="9"/>
        <v>11</v>
      </c>
      <c r="G76" s="13">
        <f t="shared" si="10"/>
        <v>10</v>
      </c>
      <c r="H76" s="13">
        <f t="shared" si="11"/>
        <v>2</v>
      </c>
      <c r="I76" s="13">
        <f t="shared" si="12"/>
        <v>42</v>
      </c>
      <c r="J76" s="14" t="str">
        <f t="shared" si="13"/>
        <v>October</v>
      </c>
      <c r="K76" s="13" t="str">
        <f t="shared" si="14"/>
        <v>Wednesday</v>
      </c>
      <c r="L76" s="15">
        <f t="shared" si="15"/>
        <v>44480</v>
      </c>
    </row>
    <row r="77" spans="1:12">
      <c r="A77" s="11" t="s">
        <v>189</v>
      </c>
      <c r="B77" s="11" t="s">
        <v>190</v>
      </c>
      <c r="C77" s="11" t="s">
        <v>58</v>
      </c>
      <c r="D77" s="12">
        <v>44364</v>
      </c>
      <c r="E77" s="13">
        <f t="shared" si="8"/>
        <v>2021</v>
      </c>
      <c r="F77" s="13">
        <f t="shared" si="9"/>
        <v>17</v>
      </c>
      <c r="G77" s="13">
        <f t="shared" si="10"/>
        <v>6</v>
      </c>
      <c r="H77" s="13">
        <f t="shared" si="11"/>
        <v>5</v>
      </c>
      <c r="I77" s="13">
        <f t="shared" si="12"/>
        <v>25</v>
      </c>
      <c r="J77" s="14" t="str">
        <f t="shared" si="13"/>
        <v>June</v>
      </c>
      <c r="K77" s="13" t="str">
        <f t="shared" si="14"/>
        <v>Tuesday</v>
      </c>
      <c r="L77" s="15">
        <f t="shared" si="15"/>
        <v>44364</v>
      </c>
    </row>
    <row r="78" spans="1:12">
      <c r="A78" s="11" t="s">
        <v>191</v>
      </c>
      <c r="B78" s="11" t="s">
        <v>192</v>
      </c>
      <c r="C78" s="11" t="s">
        <v>30</v>
      </c>
      <c r="D78" s="12">
        <v>44365</v>
      </c>
      <c r="E78" s="13">
        <f t="shared" si="8"/>
        <v>2021</v>
      </c>
      <c r="F78" s="13">
        <f t="shared" si="9"/>
        <v>18</v>
      </c>
      <c r="G78" s="13">
        <f t="shared" si="10"/>
        <v>6</v>
      </c>
      <c r="H78" s="13">
        <f t="shared" si="11"/>
        <v>6</v>
      </c>
      <c r="I78" s="13">
        <f t="shared" si="12"/>
        <v>25</v>
      </c>
      <c r="J78" s="14" t="str">
        <f t="shared" si="13"/>
        <v>June</v>
      </c>
      <c r="K78" s="13" t="str">
        <f t="shared" si="14"/>
        <v>Wednesday</v>
      </c>
      <c r="L78" s="15">
        <f t="shared" si="15"/>
        <v>44365</v>
      </c>
    </row>
    <row r="79" spans="1:12">
      <c r="A79" s="11" t="s">
        <v>193</v>
      </c>
      <c r="B79" s="11" t="s">
        <v>194</v>
      </c>
      <c r="C79" s="11" t="s">
        <v>30</v>
      </c>
      <c r="D79" s="12">
        <v>44797</v>
      </c>
      <c r="E79" s="13">
        <f t="shared" si="8"/>
        <v>2022</v>
      </c>
      <c r="F79" s="13">
        <f t="shared" si="9"/>
        <v>24</v>
      </c>
      <c r="G79" s="13">
        <f t="shared" si="10"/>
        <v>8</v>
      </c>
      <c r="H79" s="13">
        <f t="shared" si="11"/>
        <v>4</v>
      </c>
      <c r="I79" s="13">
        <f t="shared" si="12"/>
        <v>35</v>
      </c>
      <c r="J79" s="14" t="str">
        <f t="shared" si="13"/>
        <v>August</v>
      </c>
      <c r="K79" s="13" t="str">
        <f t="shared" si="14"/>
        <v>Tuesday</v>
      </c>
      <c r="L79" s="15">
        <f t="shared" si="15"/>
        <v>44797</v>
      </c>
    </row>
    <row r="80" spans="1:12">
      <c r="A80" s="11" t="s">
        <v>195</v>
      </c>
      <c r="B80" s="11" t="s">
        <v>196</v>
      </c>
      <c r="C80" s="11" t="s">
        <v>30</v>
      </c>
      <c r="D80" s="12">
        <v>44856</v>
      </c>
      <c r="E80" s="13">
        <f t="shared" si="8"/>
        <v>2022</v>
      </c>
      <c r="F80" s="13">
        <f t="shared" si="9"/>
        <v>22</v>
      </c>
      <c r="G80" s="13">
        <f t="shared" si="10"/>
        <v>10</v>
      </c>
      <c r="H80" s="13">
        <f t="shared" si="11"/>
        <v>7</v>
      </c>
      <c r="I80" s="13">
        <f t="shared" si="12"/>
        <v>43</v>
      </c>
      <c r="J80" s="14" t="str">
        <f t="shared" si="13"/>
        <v>October</v>
      </c>
      <c r="K80" s="13" t="str">
        <f t="shared" si="14"/>
        <v>Sunday</v>
      </c>
      <c r="L80" s="15">
        <f t="shared" si="15"/>
        <v>44856</v>
      </c>
    </row>
    <row r="81" spans="1:12">
      <c r="A81" s="11" t="s">
        <v>197</v>
      </c>
      <c r="B81" s="11" t="s">
        <v>198</v>
      </c>
      <c r="C81" s="11" t="s">
        <v>30</v>
      </c>
      <c r="D81" s="12">
        <v>45014</v>
      </c>
      <c r="E81" s="13">
        <f t="shared" si="8"/>
        <v>2023</v>
      </c>
      <c r="F81" s="13">
        <f t="shared" si="9"/>
        <v>29</v>
      </c>
      <c r="G81" s="13">
        <f t="shared" si="10"/>
        <v>3</v>
      </c>
      <c r="H81" s="13">
        <f t="shared" si="11"/>
        <v>4</v>
      </c>
      <c r="I81" s="13">
        <f t="shared" si="12"/>
        <v>13</v>
      </c>
      <c r="J81" s="14" t="str">
        <f t="shared" si="13"/>
        <v>March</v>
      </c>
      <c r="K81" s="13" t="str">
        <f t="shared" si="14"/>
        <v>Sunday</v>
      </c>
      <c r="L81" s="15">
        <f t="shared" si="15"/>
        <v>45014</v>
      </c>
    </row>
    <row r="82" spans="1:12">
      <c r="A82" s="11" t="s">
        <v>199</v>
      </c>
      <c r="B82" s="11" t="s">
        <v>200</v>
      </c>
      <c r="C82" s="11" t="s">
        <v>30</v>
      </c>
      <c r="D82" s="12">
        <v>44502</v>
      </c>
      <c r="E82" s="13">
        <f t="shared" si="8"/>
        <v>2021</v>
      </c>
      <c r="F82" s="13">
        <f t="shared" si="9"/>
        <v>2</v>
      </c>
      <c r="G82" s="13">
        <f t="shared" si="10"/>
        <v>11</v>
      </c>
      <c r="H82" s="13">
        <f t="shared" si="11"/>
        <v>3</v>
      </c>
      <c r="I82" s="13">
        <f t="shared" si="12"/>
        <v>45</v>
      </c>
      <c r="J82" s="14" t="str">
        <f t="shared" si="13"/>
        <v>November</v>
      </c>
      <c r="K82" s="13" t="str">
        <f t="shared" si="14"/>
        <v>Monday</v>
      </c>
      <c r="L82" s="15">
        <f t="shared" si="15"/>
        <v>44502</v>
      </c>
    </row>
    <row r="83" spans="1:12">
      <c r="A83" s="11" t="s">
        <v>201</v>
      </c>
      <c r="B83" s="11" t="s">
        <v>202</v>
      </c>
      <c r="C83" s="11" t="s">
        <v>30</v>
      </c>
      <c r="D83" s="12">
        <v>44899</v>
      </c>
      <c r="E83" s="13">
        <f t="shared" si="8"/>
        <v>2022</v>
      </c>
      <c r="F83" s="13">
        <f t="shared" si="9"/>
        <v>4</v>
      </c>
      <c r="G83" s="13">
        <f t="shared" si="10"/>
        <v>12</v>
      </c>
      <c r="H83" s="13">
        <f t="shared" si="11"/>
        <v>1</v>
      </c>
      <c r="I83" s="13">
        <f t="shared" si="12"/>
        <v>50</v>
      </c>
      <c r="J83" s="14" t="str">
        <f t="shared" si="13"/>
        <v>December</v>
      </c>
      <c r="K83" s="13" t="str">
        <f t="shared" si="14"/>
        <v>Wednesday</v>
      </c>
      <c r="L83" s="15">
        <f t="shared" si="15"/>
        <v>44899</v>
      </c>
    </row>
    <row r="84" spans="1:12">
      <c r="A84" s="11" t="s">
        <v>203</v>
      </c>
      <c r="B84" s="11" t="s">
        <v>204</v>
      </c>
      <c r="C84" s="11" t="s">
        <v>30</v>
      </c>
      <c r="D84" s="12">
        <v>44978</v>
      </c>
      <c r="E84" s="13">
        <f t="shared" si="8"/>
        <v>2023</v>
      </c>
      <c r="F84" s="13">
        <f t="shared" si="9"/>
        <v>21</v>
      </c>
      <c r="G84" s="13">
        <f t="shared" si="10"/>
        <v>2</v>
      </c>
      <c r="H84" s="13">
        <f t="shared" si="11"/>
        <v>3</v>
      </c>
      <c r="I84" s="13">
        <f t="shared" si="12"/>
        <v>8</v>
      </c>
      <c r="J84" s="14" t="str">
        <f t="shared" si="13"/>
        <v>February</v>
      </c>
      <c r="K84" s="13" t="str">
        <f t="shared" si="14"/>
        <v>Saturday</v>
      </c>
      <c r="L84" s="15">
        <f t="shared" si="15"/>
        <v>44978</v>
      </c>
    </row>
    <row r="85" spans="1:12">
      <c r="A85" s="11" t="s">
        <v>205</v>
      </c>
      <c r="B85" s="11" t="s">
        <v>206</v>
      </c>
      <c r="C85" s="11" t="s">
        <v>30</v>
      </c>
      <c r="D85" s="12">
        <v>44550</v>
      </c>
      <c r="E85" s="13">
        <f t="shared" si="8"/>
        <v>2021</v>
      </c>
      <c r="F85" s="13">
        <f t="shared" si="9"/>
        <v>20</v>
      </c>
      <c r="G85" s="13">
        <f t="shared" si="10"/>
        <v>12</v>
      </c>
      <c r="H85" s="13">
        <f t="shared" si="11"/>
        <v>2</v>
      </c>
      <c r="I85" s="13">
        <f t="shared" si="12"/>
        <v>52</v>
      </c>
      <c r="J85" s="14" t="str">
        <f t="shared" si="13"/>
        <v>December</v>
      </c>
      <c r="K85" s="13" t="str">
        <f t="shared" si="14"/>
        <v>Friday</v>
      </c>
      <c r="L85" s="15">
        <f t="shared" si="15"/>
        <v>44550</v>
      </c>
    </row>
    <row r="86" spans="1:12">
      <c r="A86" s="11" t="s">
        <v>207</v>
      </c>
      <c r="B86" s="11" t="s">
        <v>208</v>
      </c>
      <c r="C86" s="11" t="s">
        <v>30</v>
      </c>
      <c r="D86" s="12">
        <v>44859</v>
      </c>
      <c r="E86" s="13">
        <f t="shared" si="8"/>
        <v>2022</v>
      </c>
      <c r="F86" s="13">
        <f t="shared" si="9"/>
        <v>25</v>
      </c>
      <c r="G86" s="13">
        <f t="shared" si="10"/>
        <v>10</v>
      </c>
      <c r="H86" s="13">
        <f t="shared" si="11"/>
        <v>3</v>
      </c>
      <c r="I86" s="13">
        <f t="shared" si="12"/>
        <v>44</v>
      </c>
      <c r="J86" s="14" t="str">
        <f t="shared" si="13"/>
        <v>October</v>
      </c>
      <c r="K86" s="13" t="str">
        <f t="shared" si="14"/>
        <v>Wednesday</v>
      </c>
      <c r="L86" s="15">
        <f t="shared" si="15"/>
        <v>44859</v>
      </c>
    </row>
    <row r="87" spans="1:12">
      <c r="A87" s="11" t="s">
        <v>209</v>
      </c>
      <c r="B87" s="11" t="s">
        <v>210</v>
      </c>
      <c r="C87" s="11" t="s">
        <v>30</v>
      </c>
      <c r="D87" s="12">
        <v>44661</v>
      </c>
      <c r="E87" s="13">
        <f t="shared" si="8"/>
        <v>2022</v>
      </c>
      <c r="F87" s="13">
        <f t="shared" si="9"/>
        <v>10</v>
      </c>
      <c r="G87" s="13">
        <f t="shared" si="10"/>
        <v>4</v>
      </c>
      <c r="H87" s="13">
        <f t="shared" si="11"/>
        <v>1</v>
      </c>
      <c r="I87" s="13">
        <f t="shared" si="12"/>
        <v>16</v>
      </c>
      <c r="J87" s="14" t="str">
        <f t="shared" si="13"/>
        <v>April</v>
      </c>
      <c r="K87" s="13" t="str">
        <f t="shared" si="14"/>
        <v>Tuesday</v>
      </c>
      <c r="L87" s="15">
        <f t="shared" si="15"/>
        <v>44661</v>
      </c>
    </row>
    <row r="88" spans="1:12">
      <c r="A88" s="11" t="s">
        <v>211</v>
      </c>
      <c r="B88" s="11" t="s">
        <v>212</v>
      </c>
      <c r="C88" s="11" t="s">
        <v>58</v>
      </c>
      <c r="D88" s="12">
        <v>44470</v>
      </c>
      <c r="E88" s="13">
        <f t="shared" si="8"/>
        <v>2021</v>
      </c>
      <c r="F88" s="13">
        <f t="shared" si="9"/>
        <v>1</v>
      </c>
      <c r="G88" s="13">
        <f t="shared" si="10"/>
        <v>10</v>
      </c>
      <c r="H88" s="13">
        <f t="shared" si="11"/>
        <v>6</v>
      </c>
      <c r="I88" s="13">
        <f t="shared" si="12"/>
        <v>40</v>
      </c>
      <c r="J88" s="14" t="str">
        <f t="shared" si="13"/>
        <v>October</v>
      </c>
      <c r="K88" s="13" t="str">
        <f t="shared" si="14"/>
        <v>Sunday</v>
      </c>
      <c r="L88" s="15">
        <f t="shared" si="15"/>
        <v>44470</v>
      </c>
    </row>
    <row r="89" spans="1:12">
      <c r="A89" s="11" t="s">
        <v>213</v>
      </c>
      <c r="B89" s="11" t="s">
        <v>214</v>
      </c>
      <c r="C89" s="11" t="s">
        <v>130</v>
      </c>
      <c r="D89" s="12">
        <v>44631</v>
      </c>
      <c r="E89" s="13">
        <f t="shared" si="8"/>
        <v>2022</v>
      </c>
      <c r="F89" s="13">
        <f t="shared" si="9"/>
        <v>11</v>
      </c>
      <c r="G89" s="13">
        <f t="shared" si="10"/>
        <v>3</v>
      </c>
      <c r="H89" s="13">
        <f t="shared" si="11"/>
        <v>6</v>
      </c>
      <c r="I89" s="13">
        <f t="shared" si="12"/>
        <v>11</v>
      </c>
      <c r="J89" s="14" t="str">
        <f t="shared" si="13"/>
        <v>March</v>
      </c>
      <c r="K89" s="13" t="str">
        <f t="shared" si="14"/>
        <v>Wednesday</v>
      </c>
      <c r="L89" s="15">
        <f t="shared" si="15"/>
        <v>44631</v>
      </c>
    </row>
    <row r="90" spans="1:12">
      <c r="A90" s="11" t="s">
        <v>215</v>
      </c>
      <c r="B90" s="11" t="s">
        <v>216</v>
      </c>
      <c r="C90" s="11" t="s">
        <v>130</v>
      </c>
      <c r="D90" s="12">
        <v>44392</v>
      </c>
      <c r="E90" s="13">
        <f t="shared" si="8"/>
        <v>2021</v>
      </c>
      <c r="F90" s="13">
        <f t="shared" si="9"/>
        <v>15</v>
      </c>
      <c r="G90" s="13">
        <f t="shared" si="10"/>
        <v>7</v>
      </c>
      <c r="H90" s="13">
        <f t="shared" si="11"/>
        <v>5</v>
      </c>
      <c r="I90" s="13">
        <f t="shared" si="12"/>
        <v>29</v>
      </c>
      <c r="J90" s="14" t="str">
        <f t="shared" si="13"/>
        <v>July</v>
      </c>
      <c r="K90" s="13" t="str">
        <f t="shared" si="14"/>
        <v>Sunday</v>
      </c>
      <c r="L90" s="15">
        <f t="shared" si="15"/>
        <v>44392</v>
      </c>
    </row>
    <row r="91" spans="1:12">
      <c r="A91" s="11" t="s">
        <v>217</v>
      </c>
      <c r="B91" s="11" t="s">
        <v>218</v>
      </c>
      <c r="C91" s="11" t="s">
        <v>130</v>
      </c>
      <c r="D91" s="12">
        <v>44504</v>
      </c>
      <c r="E91" s="13">
        <f t="shared" si="8"/>
        <v>2021</v>
      </c>
      <c r="F91" s="13">
        <f t="shared" si="9"/>
        <v>4</v>
      </c>
      <c r="G91" s="13">
        <f t="shared" si="10"/>
        <v>11</v>
      </c>
      <c r="H91" s="13">
        <f t="shared" si="11"/>
        <v>5</v>
      </c>
      <c r="I91" s="13">
        <f t="shared" si="12"/>
        <v>45</v>
      </c>
      <c r="J91" s="14" t="str">
        <f t="shared" si="13"/>
        <v>November</v>
      </c>
      <c r="K91" s="13" t="str">
        <f t="shared" si="14"/>
        <v>Wednesday</v>
      </c>
      <c r="L91" s="15">
        <f t="shared" si="15"/>
        <v>44504</v>
      </c>
    </row>
    <row r="92" spans="1:12">
      <c r="A92" s="11" t="s">
        <v>219</v>
      </c>
      <c r="B92" s="11" t="s">
        <v>220</v>
      </c>
      <c r="C92" s="11" t="s">
        <v>130</v>
      </c>
      <c r="D92" s="12">
        <v>44735</v>
      </c>
      <c r="E92" s="13">
        <f t="shared" si="8"/>
        <v>2022</v>
      </c>
      <c r="F92" s="13">
        <f t="shared" si="9"/>
        <v>23</v>
      </c>
      <c r="G92" s="13">
        <f t="shared" si="10"/>
        <v>6</v>
      </c>
      <c r="H92" s="13">
        <f t="shared" si="11"/>
        <v>5</v>
      </c>
      <c r="I92" s="13">
        <f t="shared" si="12"/>
        <v>26</v>
      </c>
      <c r="J92" s="14" t="str">
        <f t="shared" si="13"/>
        <v>June</v>
      </c>
      <c r="K92" s="13" t="str">
        <f t="shared" si="14"/>
        <v>Monday</v>
      </c>
      <c r="L92" s="15">
        <f t="shared" si="15"/>
        <v>44735</v>
      </c>
    </row>
    <row r="93" spans="1:12">
      <c r="A93" s="11" t="s">
        <v>221</v>
      </c>
      <c r="B93" s="11" t="s">
        <v>222</v>
      </c>
      <c r="C93" s="11" t="s">
        <v>65</v>
      </c>
      <c r="D93" s="12">
        <v>45014</v>
      </c>
      <c r="E93" s="13">
        <f t="shared" si="8"/>
        <v>2023</v>
      </c>
      <c r="F93" s="13">
        <f t="shared" si="9"/>
        <v>29</v>
      </c>
      <c r="G93" s="13">
        <f t="shared" si="10"/>
        <v>3</v>
      </c>
      <c r="H93" s="13">
        <f t="shared" si="11"/>
        <v>4</v>
      </c>
      <c r="I93" s="13">
        <f t="shared" si="12"/>
        <v>13</v>
      </c>
      <c r="J93" s="14" t="str">
        <f t="shared" si="13"/>
        <v>March</v>
      </c>
      <c r="K93" s="13" t="str">
        <f t="shared" si="14"/>
        <v>Sunday</v>
      </c>
      <c r="L93" s="15">
        <f t="shared" si="15"/>
        <v>45014</v>
      </c>
    </row>
    <row r="94" spans="1:12">
      <c r="A94" s="11" t="s">
        <v>223</v>
      </c>
      <c r="B94" s="11" t="s">
        <v>224</v>
      </c>
      <c r="C94" s="11" t="s">
        <v>65</v>
      </c>
      <c r="D94" s="12">
        <v>44866</v>
      </c>
      <c r="E94" s="13">
        <f t="shared" si="8"/>
        <v>2022</v>
      </c>
      <c r="F94" s="13">
        <f t="shared" si="9"/>
        <v>1</v>
      </c>
      <c r="G94" s="13">
        <f t="shared" si="10"/>
        <v>11</v>
      </c>
      <c r="H94" s="13">
        <f t="shared" si="11"/>
        <v>3</v>
      </c>
      <c r="I94" s="13">
        <f t="shared" si="12"/>
        <v>45</v>
      </c>
      <c r="J94" s="14" t="str">
        <f t="shared" si="13"/>
        <v>November</v>
      </c>
      <c r="K94" s="13" t="str">
        <f t="shared" si="14"/>
        <v>Sunday</v>
      </c>
      <c r="L94" s="15">
        <f t="shared" si="15"/>
        <v>44866</v>
      </c>
    </row>
    <row r="95" spans="1:12">
      <c r="A95" s="11" t="s">
        <v>225</v>
      </c>
      <c r="B95" s="11" t="s">
        <v>226</v>
      </c>
      <c r="C95" s="11" t="s">
        <v>65</v>
      </c>
      <c r="D95" s="12">
        <v>44819</v>
      </c>
      <c r="E95" s="13">
        <f t="shared" si="8"/>
        <v>2022</v>
      </c>
      <c r="F95" s="13">
        <f t="shared" si="9"/>
        <v>15</v>
      </c>
      <c r="G95" s="13">
        <f t="shared" si="10"/>
        <v>9</v>
      </c>
      <c r="H95" s="13">
        <f t="shared" si="11"/>
        <v>5</v>
      </c>
      <c r="I95" s="13">
        <f t="shared" si="12"/>
        <v>38</v>
      </c>
      <c r="J95" s="14" t="str">
        <f t="shared" si="13"/>
        <v>September</v>
      </c>
      <c r="K95" s="13" t="str">
        <f t="shared" si="14"/>
        <v>Sunday</v>
      </c>
      <c r="L95" s="15">
        <f t="shared" si="15"/>
        <v>44819</v>
      </c>
    </row>
    <row r="96" spans="1:12">
      <c r="A96" s="11" t="s">
        <v>227</v>
      </c>
      <c r="B96" s="11" t="s">
        <v>228</v>
      </c>
      <c r="C96" s="11" t="s">
        <v>58</v>
      </c>
      <c r="D96" s="12">
        <v>44897</v>
      </c>
      <c r="E96" s="13">
        <f t="shared" si="8"/>
        <v>2022</v>
      </c>
      <c r="F96" s="13">
        <f t="shared" si="9"/>
        <v>2</v>
      </c>
      <c r="G96" s="13">
        <f t="shared" si="10"/>
        <v>12</v>
      </c>
      <c r="H96" s="13">
        <f t="shared" si="11"/>
        <v>6</v>
      </c>
      <c r="I96" s="13">
        <f t="shared" si="12"/>
        <v>49</v>
      </c>
      <c r="J96" s="14" t="str">
        <f t="shared" si="13"/>
        <v>December</v>
      </c>
      <c r="K96" s="13" t="str">
        <f t="shared" si="14"/>
        <v>Monday</v>
      </c>
      <c r="L96" s="15">
        <f t="shared" si="15"/>
        <v>44897</v>
      </c>
    </row>
    <row r="97" spans="1:12">
      <c r="A97" s="11" t="s">
        <v>229</v>
      </c>
      <c r="B97" s="11" t="s">
        <v>230</v>
      </c>
      <c r="C97" s="11" t="s">
        <v>58</v>
      </c>
      <c r="D97" s="12">
        <v>44485</v>
      </c>
      <c r="E97" s="13">
        <f t="shared" si="8"/>
        <v>2021</v>
      </c>
      <c r="F97" s="13">
        <f t="shared" si="9"/>
        <v>16</v>
      </c>
      <c r="G97" s="13">
        <f t="shared" si="10"/>
        <v>10</v>
      </c>
      <c r="H97" s="13">
        <f t="shared" si="11"/>
        <v>7</v>
      </c>
      <c r="I97" s="13">
        <f t="shared" si="12"/>
        <v>42</v>
      </c>
      <c r="J97" s="14" t="str">
        <f t="shared" si="13"/>
        <v>October</v>
      </c>
      <c r="K97" s="13" t="str">
        <f t="shared" si="14"/>
        <v>Monday</v>
      </c>
      <c r="L97" s="15">
        <f t="shared" si="15"/>
        <v>44485</v>
      </c>
    </row>
    <row r="98" spans="1:12">
      <c r="A98" s="11" t="s">
        <v>231</v>
      </c>
      <c r="B98" s="11" t="s">
        <v>232</v>
      </c>
      <c r="C98" s="11" t="s">
        <v>58</v>
      </c>
      <c r="D98" s="12">
        <v>44951</v>
      </c>
      <c r="E98" s="13">
        <f t="shared" si="8"/>
        <v>2023</v>
      </c>
      <c r="F98" s="13">
        <f t="shared" si="9"/>
        <v>25</v>
      </c>
      <c r="G98" s="13">
        <f t="shared" si="10"/>
        <v>1</v>
      </c>
      <c r="H98" s="13">
        <f t="shared" si="11"/>
        <v>4</v>
      </c>
      <c r="I98" s="13">
        <f t="shared" si="12"/>
        <v>4</v>
      </c>
      <c r="J98" s="14" t="str">
        <f t="shared" si="13"/>
        <v>January</v>
      </c>
      <c r="K98" s="13" t="str">
        <f t="shared" si="14"/>
        <v>Wednesday</v>
      </c>
      <c r="L98" s="15">
        <f t="shared" si="15"/>
        <v>44951</v>
      </c>
    </row>
    <row r="99" spans="1:12">
      <c r="A99" s="11" t="s">
        <v>233</v>
      </c>
      <c r="B99" s="11" t="s">
        <v>234</v>
      </c>
      <c r="C99" s="11" t="s">
        <v>30</v>
      </c>
      <c r="D99" s="12">
        <v>44355</v>
      </c>
      <c r="E99" s="13">
        <f t="shared" si="8"/>
        <v>2021</v>
      </c>
      <c r="F99" s="13">
        <f t="shared" si="9"/>
        <v>8</v>
      </c>
      <c r="G99" s="13">
        <f t="shared" si="10"/>
        <v>6</v>
      </c>
      <c r="H99" s="13">
        <f t="shared" si="11"/>
        <v>3</v>
      </c>
      <c r="I99" s="13">
        <f t="shared" si="12"/>
        <v>24</v>
      </c>
      <c r="J99" s="14" t="str">
        <f t="shared" si="13"/>
        <v>June</v>
      </c>
      <c r="K99" s="13" t="str">
        <f t="shared" si="14"/>
        <v>Sunday</v>
      </c>
      <c r="L99" s="15">
        <f t="shared" si="15"/>
        <v>44355</v>
      </c>
    </row>
    <row r="100" spans="1:12">
      <c r="A100" s="11" t="s">
        <v>235</v>
      </c>
      <c r="B100" s="11" t="s">
        <v>236</v>
      </c>
      <c r="C100" s="11" t="s">
        <v>30</v>
      </c>
      <c r="D100" s="12">
        <v>44432</v>
      </c>
      <c r="E100" s="13">
        <f t="shared" si="8"/>
        <v>2021</v>
      </c>
      <c r="F100" s="13">
        <f t="shared" si="9"/>
        <v>24</v>
      </c>
      <c r="G100" s="13">
        <f t="shared" si="10"/>
        <v>8</v>
      </c>
      <c r="H100" s="13">
        <f t="shared" si="11"/>
        <v>3</v>
      </c>
      <c r="I100" s="13">
        <f t="shared" si="12"/>
        <v>35</v>
      </c>
      <c r="J100" s="14" t="str">
        <f t="shared" si="13"/>
        <v>August</v>
      </c>
      <c r="K100" s="13" t="str">
        <f t="shared" si="14"/>
        <v>Tuesday</v>
      </c>
      <c r="L100" s="15">
        <f t="shared" si="15"/>
        <v>44432</v>
      </c>
    </row>
    <row r="101" spans="1:12">
      <c r="A101" s="11" t="s">
        <v>237</v>
      </c>
      <c r="B101" s="11" t="s">
        <v>238</v>
      </c>
      <c r="C101" s="11" t="s">
        <v>30</v>
      </c>
      <c r="D101" s="12">
        <v>44641</v>
      </c>
      <c r="E101" s="13">
        <f t="shared" si="8"/>
        <v>2022</v>
      </c>
      <c r="F101" s="13">
        <f t="shared" si="9"/>
        <v>21</v>
      </c>
      <c r="G101" s="13">
        <f t="shared" si="10"/>
        <v>3</v>
      </c>
      <c r="H101" s="13">
        <f t="shared" si="11"/>
        <v>2</v>
      </c>
      <c r="I101" s="13">
        <f t="shared" si="12"/>
        <v>13</v>
      </c>
      <c r="J101" s="14" t="str">
        <f t="shared" si="13"/>
        <v>March</v>
      </c>
      <c r="K101" s="13" t="str">
        <f t="shared" si="14"/>
        <v>Saturday</v>
      </c>
      <c r="L101" s="15">
        <f t="shared" si="15"/>
        <v>44641</v>
      </c>
    </row>
    <row r="102" spans="1:12">
      <c r="A102" s="11" t="s">
        <v>239</v>
      </c>
      <c r="B102" s="11" t="s">
        <v>240</v>
      </c>
      <c r="C102" s="11" t="s">
        <v>30</v>
      </c>
      <c r="D102" s="12">
        <v>44709</v>
      </c>
      <c r="E102" s="13">
        <f t="shared" si="8"/>
        <v>2022</v>
      </c>
      <c r="F102" s="13">
        <f t="shared" si="9"/>
        <v>28</v>
      </c>
      <c r="G102" s="13">
        <f t="shared" si="10"/>
        <v>5</v>
      </c>
      <c r="H102" s="13">
        <f t="shared" si="11"/>
        <v>7</v>
      </c>
      <c r="I102" s="13">
        <f t="shared" si="12"/>
        <v>22</v>
      </c>
      <c r="J102" s="14" t="str">
        <f t="shared" si="13"/>
        <v>May</v>
      </c>
      <c r="K102" s="13" t="str">
        <f t="shared" si="14"/>
        <v>Saturday</v>
      </c>
      <c r="L102" s="15">
        <f t="shared" si="15"/>
        <v>44709</v>
      </c>
    </row>
    <row r="103" spans="1:12">
      <c r="A103" s="11" t="s">
        <v>241</v>
      </c>
      <c r="B103" s="11" t="s">
        <v>242</v>
      </c>
      <c r="C103" s="11" t="s">
        <v>30</v>
      </c>
      <c r="D103" s="12">
        <v>44355</v>
      </c>
      <c r="E103" s="13">
        <f t="shared" si="8"/>
        <v>2021</v>
      </c>
      <c r="F103" s="13">
        <f t="shared" si="9"/>
        <v>8</v>
      </c>
      <c r="G103" s="13">
        <f t="shared" si="10"/>
        <v>6</v>
      </c>
      <c r="H103" s="13">
        <f t="shared" si="11"/>
        <v>3</v>
      </c>
      <c r="I103" s="13">
        <f t="shared" si="12"/>
        <v>24</v>
      </c>
      <c r="J103" s="14" t="str">
        <f t="shared" si="13"/>
        <v>June</v>
      </c>
      <c r="K103" s="13" t="str">
        <f t="shared" si="14"/>
        <v>Sunday</v>
      </c>
      <c r="L103" s="15">
        <f t="shared" si="15"/>
        <v>44355</v>
      </c>
    </row>
    <row r="104" spans="1:12">
      <c r="A104" s="11" t="s">
        <v>243</v>
      </c>
      <c r="B104" s="11" t="s">
        <v>244</v>
      </c>
      <c r="C104" s="11" t="s">
        <v>30</v>
      </c>
      <c r="D104" s="12">
        <v>44650</v>
      </c>
      <c r="E104" s="13">
        <f t="shared" si="8"/>
        <v>2022</v>
      </c>
      <c r="F104" s="13">
        <f t="shared" si="9"/>
        <v>30</v>
      </c>
      <c r="G104" s="13">
        <f t="shared" si="10"/>
        <v>3</v>
      </c>
      <c r="H104" s="13">
        <f t="shared" si="11"/>
        <v>4</v>
      </c>
      <c r="I104" s="13">
        <f t="shared" si="12"/>
        <v>14</v>
      </c>
      <c r="J104" s="14" t="str">
        <f t="shared" si="13"/>
        <v>March</v>
      </c>
      <c r="K104" s="13" t="str">
        <f t="shared" si="14"/>
        <v>Monday</v>
      </c>
      <c r="L104" s="15">
        <f t="shared" si="15"/>
        <v>44650</v>
      </c>
    </row>
    <row r="105" spans="1:12">
      <c r="A105" s="11" t="s">
        <v>245</v>
      </c>
      <c r="B105" s="11" t="s">
        <v>246</v>
      </c>
      <c r="C105" s="11" t="s">
        <v>30</v>
      </c>
      <c r="D105" s="12">
        <v>44829</v>
      </c>
      <c r="E105" s="13">
        <f t="shared" si="8"/>
        <v>2022</v>
      </c>
      <c r="F105" s="13">
        <f t="shared" si="9"/>
        <v>25</v>
      </c>
      <c r="G105" s="13">
        <f t="shared" si="10"/>
        <v>9</v>
      </c>
      <c r="H105" s="13">
        <f t="shared" si="11"/>
        <v>1</v>
      </c>
      <c r="I105" s="13">
        <f t="shared" si="12"/>
        <v>40</v>
      </c>
      <c r="J105" s="14" t="str">
        <f t="shared" si="13"/>
        <v>September</v>
      </c>
      <c r="K105" s="13" t="str">
        <f t="shared" si="14"/>
        <v>Wednesday</v>
      </c>
      <c r="L105" s="15">
        <f t="shared" si="15"/>
        <v>44829</v>
      </c>
    </row>
    <row r="106" spans="1:12">
      <c r="A106" s="11" t="s">
        <v>247</v>
      </c>
      <c r="B106" s="11" t="s">
        <v>248</v>
      </c>
      <c r="C106" s="11" t="s">
        <v>30</v>
      </c>
      <c r="D106" s="12">
        <v>44349</v>
      </c>
      <c r="E106" s="13">
        <f t="shared" si="8"/>
        <v>2021</v>
      </c>
      <c r="F106" s="13">
        <f t="shared" si="9"/>
        <v>2</v>
      </c>
      <c r="G106" s="13">
        <f t="shared" si="10"/>
        <v>6</v>
      </c>
      <c r="H106" s="13">
        <f t="shared" si="11"/>
        <v>4</v>
      </c>
      <c r="I106" s="13">
        <f t="shared" si="12"/>
        <v>23</v>
      </c>
      <c r="J106" s="14" t="str">
        <f t="shared" si="13"/>
        <v>June</v>
      </c>
      <c r="K106" s="13" t="str">
        <f t="shared" si="14"/>
        <v>Monday</v>
      </c>
      <c r="L106" s="15">
        <f t="shared" si="15"/>
        <v>44349</v>
      </c>
    </row>
    <row r="107" spans="1:12">
      <c r="A107" s="11" t="s">
        <v>249</v>
      </c>
      <c r="B107" s="11" t="s">
        <v>250</v>
      </c>
      <c r="C107" s="11" t="s">
        <v>30</v>
      </c>
      <c r="D107" s="12">
        <v>44507</v>
      </c>
      <c r="E107" s="13">
        <f t="shared" si="8"/>
        <v>2021</v>
      </c>
      <c r="F107" s="13">
        <f t="shared" si="9"/>
        <v>7</v>
      </c>
      <c r="G107" s="13">
        <f t="shared" si="10"/>
        <v>11</v>
      </c>
      <c r="H107" s="13">
        <f t="shared" si="11"/>
        <v>1</v>
      </c>
      <c r="I107" s="13">
        <f t="shared" si="12"/>
        <v>46</v>
      </c>
      <c r="J107" s="14" t="str">
        <f t="shared" si="13"/>
        <v>November</v>
      </c>
      <c r="K107" s="13" t="str">
        <f t="shared" si="14"/>
        <v>Saturday</v>
      </c>
      <c r="L107" s="15">
        <f t="shared" si="15"/>
        <v>44507</v>
      </c>
    </row>
    <row r="108" spans="1:12">
      <c r="A108" s="11" t="s">
        <v>251</v>
      </c>
      <c r="B108" s="11" t="s">
        <v>252</v>
      </c>
      <c r="C108" s="11" t="s">
        <v>30</v>
      </c>
      <c r="D108" s="12">
        <v>44676</v>
      </c>
      <c r="E108" s="13">
        <f t="shared" si="8"/>
        <v>2022</v>
      </c>
      <c r="F108" s="13">
        <f t="shared" si="9"/>
        <v>25</v>
      </c>
      <c r="G108" s="13">
        <f t="shared" si="10"/>
        <v>4</v>
      </c>
      <c r="H108" s="13">
        <f t="shared" si="11"/>
        <v>2</v>
      </c>
      <c r="I108" s="13">
        <f t="shared" si="12"/>
        <v>18</v>
      </c>
      <c r="J108" s="14" t="str">
        <f t="shared" si="13"/>
        <v>April</v>
      </c>
      <c r="K108" s="13" t="str">
        <f t="shared" si="14"/>
        <v>Wednesday</v>
      </c>
      <c r="L108" s="15">
        <f t="shared" si="15"/>
        <v>44676</v>
      </c>
    </row>
    <row r="109" spans="1:12">
      <c r="A109" s="11" t="s">
        <v>253</v>
      </c>
      <c r="B109" s="11" t="s">
        <v>254</v>
      </c>
      <c r="C109" s="11" t="s">
        <v>58</v>
      </c>
      <c r="D109" s="12">
        <v>44701</v>
      </c>
      <c r="E109" s="13">
        <f t="shared" si="8"/>
        <v>2022</v>
      </c>
      <c r="F109" s="13">
        <f t="shared" si="9"/>
        <v>20</v>
      </c>
      <c r="G109" s="13">
        <f t="shared" si="10"/>
        <v>5</v>
      </c>
      <c r="H109" s="13">
        <f t="shared" si="11"/>
        <v>6</v>
      </c>
      <c r="I109" s="13">
        <f t="shared" si="12"/>
        <v>21</v>
      </c>
      <c r="J109" s="14" t="str">
        <f t="shared" si="13"/>
        <v>May</v>
      </c>
      <c r="K109" s="13" t="str">
        <f t="shared" si="14"/>
        <v>Friday</v>
      </c>
      <c r="L109" s="15">
        <f t="shared" si="15"/>
        <v>44701</v>
      </c>
    </row>
    <row r="110" spans="1:12">
      <c r="A110" s="11" t="s">
        <v>255</v>
      </c>
      <c r="B110" s="11" t="s">
        <v>256</v>
      </c>
      <c r="C110" s="11" t="s">
        <v>130</v>
      </c>
      <c r="D110" s="12">
        <v>44499</v>
      </c>
      <c r="E110" s="13">
        <f t="shared" si="8"/>
        <v>2021</v>
      </c>
      <c r="F110" s="13">
        <f t="shared" si="9"/>
        <v>30</v>
      </c>
      <c r="G110" s="13">
        <f t="shared" si="10"/>
        <v>10</v>
      </c>
      <c r="H110" s="13">
        <f t="shared" si="11"/>
        <v>7</v>
      </c>
      <c r="I110" s="13">
        <f t="shared" si="12"/>
        <v>44</v>
      </c>
      <c r="J110" s="14" t="str">
        <f t="shared" si="13"/>
        <v>October</v>
      </c>
      <c r="K110" s="13" t="str">
        <f t="shared" si="14"/>
        <v>Monday</v>
      </c>
      <c r="L110" s="15">
        <f t="shared" si="15"/>
        <v>44499</v>
      </c>
    </row>
    <row r="111" spans="1:12">
      <c r="A111" s="11" t="s">
        <v>257</v>
      </c>
      <c r="B111" s="11" t="s">
        <v>258</v>
      </c>
      <c r="C111" s="11" t="s">
        <v>130</v>
      </c>
      <c r="D111" s="12">
        <v>44801</v>
      </c>
      <c r="E111" s="13">
        <f t="shared" si="8"/>
        <v>2022</v>
      </c>
      <c r="F111" s="13">
        <f t="shared" si="9"/>
        <v>28</v>
      </c>
      <c r="G111" s="13">
        <f t="shared" si="10"/>
        <v>8</v>
      </c>
      <c r="H111" s="13">
        <f t="shared" si="11"/>
        <v>1</v>
      </c>
      <c r="I111" s="13">
        <f t="shared" si="12"/>
        <v>36</v>
      </c>
      <c r="J111" s="14" t="str">
        <f t="shared" si="13"/>
        <v>August</v>
      </c>
      <c r="K111" s="13" t="str">
        <f t="shared" si="14"/>
        <v>Saturday</v>
      </c>
      <c r="L111" s="15">
        <f t="shared" si="15"/>
        <v>44801</v>
      </c>
    </row>
    <row r="112" spans="1:12">
      <c r="A112" s="11" t="s">
        <v>259</v>
      </c>
      <c r="B112" s="11" t="s">
        <v>260</v>
      </c>
      <c r="C112" s="11" t="s">
        <v>130</v>
      </c>
      <c r="D112" s="12">
        <v>44960</v>
      </c>
      <c r="E112" s="13">
        <f t="shared" si="8"/>
        <v>2023</v>
      </c>
      <c r="F112" s="13">
        <f t="shared" si="9"/>
        <v>3</v>
      </c>
      <c r="G112" s="13">
        <f t="shared" si="10"/>
        <v>2</v>
      </c>
      <c r="H112" s="13">
        <f t="shared" si="11"/>
        <v>6</v>
      </c>
      <c r="I112" s="13">
        <f t="shared" si="12"/>
        <v>5</v>
      </c>
      <c r="J112" s="14" t="str">
        <f t="shared" si="13"/>
        <v>February</v>
      </c>
      <c r="K112" s="13" t="str">
        <f t="shared" si="14"/>
        <v>Tuesday</v>
      </c>
      <c r="L112" s="15">
        <f t="shared" si="15"/>
        <v>44960</v>
      </c>
    </row>
    <row r="113" spans="1:12">
      <c r="A113" s="11" t="s">
        <v>261</v>
      </c>
      <c r="B113" s="11" t="s">
        <v>262</v>
      </c>
      <c r="C113" s="11" t="s">
        <v>130</v>
      </c>
      <c r="D113" s="12">
        <v>44694</v>
      </c>
      <c r="E113" s="13">
        <f t="shared" si="8"/>
        <v>2022</v>
      </c>
      <c r="F113" s="13">
        <f t="shared" si="9"/>
        <v>13</v>
      </c>
      <c r="G113" s="13">
        <f t="shared" si="10"/>
        <v>5</v>
      </c>
      <c r="H113" s="13">
        <f t="shared" si="11"/>
        <v>6</v>
      </c>
      <c r="I113" s="13">
        <f t="shared" si="12"/>
        <v>20</v>
      </c>
      <c r="J113" s="14" t="str">
        <f t="shared" si="13"/>
        <v>May</v>
      </c>
      <c r="K113" s="13" t="str">
        <f t="shared" si="14"/>
        <v>Friday</v>
      </c>
      <c r="L113" s="15">
        <f t="shared" si="15"/>
        <v>44694</v>
      </c>
    </row>
    <row r="114" spans="1:12">
      <c r="A114" s="11" t="s">
        <v>263</v>
      </c>
      <c r="B114" s="11" t="s">
        <v>264</v>
      </c>
      <c r="C114" s="11" t="s">
        <v>65</v>
      </c>
      <c r="D114" s="12">
        <v>44531</v>
      </c>
      <c r="E114" s="13">
        <f t="shared" si="8"/>
        <v>2021</v>
      </c>
      <c r="F114" s="13">
        <f t="shared" si="9"/>
        <v>1</v>
      </c>
      <c r="G114" s="13">
        <f t="shared" si="10"/>
        <v>12</v>
      </c>
      <c r="H114" s="13">
        <f t="shared" si="11"/>
        <v>4</v>
      </c>
      <c r="I114" s="13">
        <f t="shared" si="12"/>
        <v>49</v>
      </c>
      <c r="J114" s="14" t="str">
        <f t="shared" si="13"/>
        <v>December</v>
      </c>
      <c r="K114" s="13" t="str">
        <f t="shared" si="14"/>
        <v>Sunday</v>
      </c>
      <c r="L114" s="15">
        <f t="shared" si="15"/>
        <v>44531</v>
      </c>
    </row>
    <row r="115" spans="1:12">
      <c r="A115" s="11" t="s">
        <v>265</v>
      </c>
      <c r="B115" s="11" t="s">
        <v>266</v>
      </c>
      <c r="C115" s="11" t="s">
        <v>65</v>
      </c>
      <c r="D115" s="12">
        <v>44488</v>
      </c>
      <c r="E115" s="13">
        <f t="shared" si="8"/>
        <v>2021</v>
      </c>
      <c r="F115" s="13">
        <f t="shared" si="9"/>
        <v>19</v>
      </c>
      <c r="G115" s="13">
        <f t="shared" si="10"/>
        <v>10</v>
      </c>
      <c r="H115" s="13">
        <f t="shared" si="11"/>
        <v>3</v>
      </c>
      <c r="I115" s="13">
        <f t="shared" si="12"/>
        <v>43</v>
      </c>
      <c r="J115" s="14" t="str">
        <f t="shared" si="13"/>
        <v>October</v>
      </c>
      <c r="K115" s="13" t="str">
        <f t="shared" si="14"/>
        <v>Thursday</v>
      </c>
      <c r="L115" s="15">
        <f t="shared" si="15"/>
        <v>44488</v>
      </c>
    </row>
    <row r="116" spans="1:12">
      <c r="A116" s="11" t="s">
        <v>267</v>
      </c>
      <c r="B116" s="11" t="s">
        <v>268</v>
      </c>
      <c r="C116" s="11" t="s">
        <v>65</v>
      </c>
      <c r="D116" s="12">
        <v>44976</v>
      </c>
      <c r="E116" s="13">
        <f t="shared" si="8"/>
        <v>2023</v>
      </c>
      <c r="F116" s="13">
        <f t="shared" si="9"/>
        <v>19</v>
      </c>
      <c r="G116" s="13">
        <f t="shared" si="10"/>
        <v>2</v>
      </c>
      <c r="H116" s="13">
        <f t="shared" si="11"/>
        <v>1</v>
      </c>
      <c r="I116" s="13">
        <f t="shared" si="12"/>
        <v>8</v>
      </c>
      <c r="J116" s="14" t="str">
        <f t="shared" si="13"/>
        <v>February</v>
      </c>
      <c r="K116" s="13" t="str">
        <f t="shared" si="14"/>
        <v>Thursday</v>
      </c>
      <c r="L116" s="15">
        <f t="shared" si="15"/>
        <v>44976</v>
      </c>
    </row>
    <row r="117" spans="1:12">
      <c r="A117" s="11" t="s">
        <v>269</v>
      </c>
      <c r="B117" s="11" t="s">
        <v>270</v>
      </c>
      <c r="C117" s="11" t="s">
        <v>58</v>
      </c>
      <c r="D117" s="12">
        <v>45012</v>
      </c>
      <c r="E117" s="13">
        <f t="shared" si="8"/>
        <v>2023</v>
      </c>
      <c r="F117" s="13">
        <f t="shared" si="9"/>
        <v>27</v>
      </c>
      <c r="G117" s="13">
        <f t="shared" si="10"/>
        <v>3</v>
      </c>
      <c r="H117" s="13">
        <f t="shared" si="11"/>
        <v>2</v>
      </c>
      <c r="I117" s="13">
        <f t="shared" si="12"/>
        <v>13</v>
      </c>
      <c r="J117" s="14" t="str">
        <f t="shared" si="13"/>
        <v>March</v>
      </c>
      <c r="K117" s="13" t="str">
        <f t="shared" si="14"/>
        <v>Friday</v>
      </c>
      <c r="L117" s="15">
        <f t="shared" si="15"/>
        <v>45012</v>
      </c>
    </row>
    <row r="118" spans="1:12">
      <c r="A118" s="11" t="s">
        <v>271</v>
      </c>
      <c r="B118" s="11" t="s">
        <v>272</v>
      </c>
      <c r="C118" s="11" t="s">
        <v>58</v>
      </c>
      <c r="D118" s="12">
        <v>44883</v>
      </c>
      <c r="E118" s="13">
        <f t="shared" si="8"/>
        <v>2022</v>
      </c>
      <c r="F118" s="13">
        <f t="shared" si="9"/>
        <v>18</v>
      </c>
      <c r="G118" s="13">
        <f t="shared" si="10"/>
        <v>11</v>
      </c>
      <c r="H118" s="13">
        <f t="shared" si="11"/>
        <v>6</v>
      </c>
      <c r="I118" s="13">
        <f t="shared" si="12"/>
        <v>47</v>
      </c>
      <c r="J118" s="14" t="str">
        <f t="shared" si="13"/>
        <v>November</v>
      </c>
      <c r="K118" s="13" t="str">
        <f t="shared" si="14"/>
        <v>Wednesday</v>
      </c>
      <c r="L118" s="15">
        <f t="shared" si="15"/>
        <v>44883</v>
      </c>
    </row>
    <row r="119" spans="1:12">
      <c r="A119" s="11" t="s">
        <v>273</v>
      </c>
      <c r="B119" s="11" t="s">
        <v>140</v>
      </c>
      <c r="C119" s="11" t="s">
        <v>58</v>
      </c>
      <c r="D119" s="12">
        <v>45015</v>
      </c>
      <c r="E119" s="13">
        <f t="shared" si="8"/>
        <v>2023</v>
      </c>
      <c r="F119" s="13">
        <f t="shared" si="9"/>
        <v>30</v>
      </c>
      <c r="G119" s="13">
        <f t="shared" si="10"/>
        <v>3</v>
      </c>
      <c r="H119" s="13">
        <f t="shared" si="11"/>
        <v>5</v>
      </c>
      <c r="I119" s="13">
        <f t="shared" si="12"/>
        <v>13</v>
      </c>
      <c r="J119" s="14" t="str">
        <f t="shared" si="13"/>
        <v>March</v>
      </c>
      <c r="K119" s="13" t="str">
        <f t="shared" si="14"/>
        <v>Monday</v>
      </c>
      <c r="L119" s="15">
        <f t="shared" si="15"/>
        <v>45015</v>
      </c>
    </row>
    <row r="120" spans="1:12">
      <c r="A120" s="11" t="s">
        <v>274</v>
      </c>
      <c r="B120" s="11" t="s">
        <v>275</v>
      </c>
      <c r="C120" s="11" t="s">
        <v>30</v>
      </c>
      <c r="D120" s="12">
        <v>44521</v>
      </c>
      <c r="E120" s="13">
        <f t="shared" si="8"/>
        <v>2021</v>
      </c>
      <c r="F120" s="13">
        <f t="shared" si="9"/>
        <v>21</v>
      </c>
      <c r="G120" s="13">
        <f t="shared" si="10"/>
        <v>11</v>
      </c>
      <c r="H120" s="13">
        <f t="shared" si="11"/>
        <v>1</v>
      </c>
      <c r="I120" s="13">
        <f t="shared" si="12"/>
        <v>48</v>
      </c>
      <c r="J120" s="14" t="str">
        <f t="shared" si="13"/>
        <v>November</v>
      </c>
      <c r="K120" s="13" t="str">
        <f t="shared" si="14"/>
        <v>Saturday</v>
      </c>
      <c r="L120" s="15">
        <f t="shared" si="15"/>
        <v>44521</v>
      </c>
    </row>
    <row r="121" spans="1:12">
      <c r="A121" s="11" t="s">
        <v>276</v>
      </c>
      <c r="B121" s="11" t="s">
        <v>277</v>
      </c>
      <c r="C121" s="11" t="s">
        <v>30</v>
      </c>
      <c r="D121" s="12">
        <v>44826</v>
      </c>
      <c r="E121" s="13">
        <f t="shared" si="8"/>
        <v>2022</v>
      </c>
      <c r="F121" s="13">
        <f t="shared" si="9"/>
        <v>22</v>
      </c>
      <c r="G121" s="13">
        <f t="shared" si="10"/>
        <v>9</v>
      </c>
      <c r="H121" s="13">
        <f t="shared" si="11"/>
        <v>5</v>
      </c>
      <c r="I121" s="13">
        <f t="shared" si="12"/>
        <v>39</v>
      </c>
      <c r="J121" s="14" t="str">
        <f t="shared" si="13"/>
        <v>September</v>
      </c>
      <c r="K121" s="13" t="str">
        <f t="shared" si="14"/>
        <v>Sunday</v>
      </c>
      <c r="L121" s="15">
        <f t="shared" si="15"/>
        <v>44826</v>
      </c>
    </row>
    <row r="122" spans="1:12">
      <c r="A122" s="11" t="s">
        <v>278</v>
      </c>
      <c r="B122" s="11" t="s">
        <v>279</v>
      </c>
      <c r="C122" s="11" t="s">
        <v>30</v>
      </c>
      <c r="D122" s="12">
        <v>44949</v>
      </c>
      <c r="E122" s="13">
        <f t="shared" si="8"/>
        <v>2023</v>
      </c>
      <c r="F122" s="13">
        <f t="shared" si="9"/>
        <v>23</v>
      </c>
      <c r="G122" s="13">
        <f t="shared" si="10"/>
        <v>1</v>
      </c>
      <c r="H122" s="13">
        <f t="shared" si="11"/>
        <v>2</v>
      </c>
      <c r="I122" s="13">
        <f t="shared" si="12"/>
        <v>4</v>
      </c>
      <c r="J122" s="14" t="str">
        <f t="shared" si="13"/>
        <v>January</v>
      </c>
      <c r="K122" s="13" t="str">
        <f t="shared" si="14"/>
        <v>Monday</v>
      </c>
      <c r="L122" s="15">
        <f t="shared" si="15"/>
        <v>44949</v>
      </c>
    </row>
    <row r="123" spans="1:12">
      <c r="A123" s="11" t="s">
        <v>280</v>
      </c>
      <c r="B123" s="11" t="s">
        <v>281</v>
      </c>
      <c r="C123" s="11" t="s">
        <v>30</v>
      </c>
      <c r="D123" s="12">
        <v>44982</v>
      </c>
      <c r="E123" s="13">
        <f t="shared" si="8"/>
        <v>2023</v>
      </c>
      <c r="F123" s="13">
        <f t="shared" si="9"/>
        <v>25</v>
      </c>
      <c r="G123" s="13">
        <f t="shared" si="10"/>
        <v>2</v>
      </c>
      <c r="H123" s="13">
        <f t="shared" si="11"/>
        <v>7</v>
      </c>
      <c r="I123" s="13">
        <f t="shared" si="12"/>
        <v>8</v>
      </c>
      <c r="J123" s="14" t="str">
        <f t="shared" si="13"/>
        <v>February</v>
      </c>
      <c r="K123" s="13" t="str">
        <f t="shared" si="14"/>
        <v>Wednesday</v>
      </c>
      <c r="L123" s="15">
        <f t="shared" si="15"/>
        <v>44982</v>
      </c>
    </row>
    <row r="124" spans="1:12">
      <c r="A124" s="11" t="s">
        <v>282</v>
      </c>
      <c r="B124" s="11" t="s">
        <v>283</v>
      </c>
      <c r="C124" s="11" t="s">
        <v>30</v>
      </c>
      <c r="D124" s="12">
        <v>44805</v>
      </c>
      <c r="E124" s="13">
        <f t="shared" si="8"/>
        <v>2022</v>
      </c>
      <c r="F124" s="13">
        <f t="shared" si="9"/>
        <v>1</v>
      </c>
      <c r="G124" s="13">
        <f t="shared" si="10"/>
        <v>9</v>
      </c>
      <c r="H124" s="13">
        <f t="shared" si="11"/>
        <v>5</v>
      </c>
      <c r="I124" s="13">
        <f t="shared" si="12"/>
        <v>36</v>
      </c>
      <c r="J124" s="14" t="str">
        <f t="shared" si="13"/>
        <v>September</v>
      </c>
      <c r="K124" s="13" t="str">
        <f t="shared" si="14"/>
        <v>Sunday</v>
      </c>
      <c r="L124" s="15">
        <f t="shared" si="15"/>
        <v>44805</v>
      </c>
    </row>
    <row r="125" spans="1:12">
      <c r="A125" s="11" t="s">
        <v>284</v>
      </c>
      <c r="B125" s="11" t="s">
        <v>285</v>
      </c>
      <c r="C125" s="11" t="s">
        <v>30</v>
      </c>
      <c r="D125" s="12">
        <v>44894</v>
      </c>
      <c r="E125" s="13">
        <f t="shared" si="8"/>
        <v>2022</v>
      </c>
      <c r="F125" s="13">
        <f t="shared" si="9"/>
        <v>29</v>
      </c>
      <c r="G125" s="13">
        <f t="shared" si="10"/>
        <v>11</v>
      </c>
      <c r="H125" s="13">
        <f t="shared" si="11"/>
        <v>3</v>
      </c>
      <c r="I125" s="13">
        <f t="shared" si="12"/>
        <v>49</v>
      </c>
      <c r="J125" s="14" t="str">
        <f t="shared" si="13"/>
        <v>November</v>
      </c>
      <c r="K125" s="13" t="str">
        <f t="shared" si="14"/>
        <v>Sunday</v>
      </c>
      <c r="L125" s="15">
        <f t="shared" si="15"/>
        <v>44894</v>
      </c>
    </row>
    <row r="126" spans="1:12">
      <c r="A126" s="11" t="s">
        <v>286</v>
      </c>
      <c r="B126" s="11" t="s">
        <v>287</v>
      </c>
      <c r="C126" s="11" t="s">
        <v>30</v>
      </c>
      <c r="D126" s="12">
        <v>44309</v>
      </c>
      <c r="E126" s="13">
        <f t="shared" si="8"/>
        <v>2021</v>
      </c>
      <c r="F126" s="13">
        <f t="shared" si="9"/>
        <v>23</v>
      </c>
      <c r="G126" s="13">
        <f t="shared" si="10"/>
        <v>4</v>
      </c>
      <c r="H126" s="13">
        <f t="shared" si="11"/>
        <v>6</v>
      </c>
      <c r="I126" s="13">
        <f t="shared" si="12"/>
        <v>17</v>
      </c>
      <c r="J126" s="14" t="str">
        <f t="shared" si="13"/>
        <v>April</v>
      </c>
      <c r="K126" s="13" t="str">
        <f t="shared" si="14"/>
        <v>Monday</v>
      </c>
      <c r="L126" s="15">
        <f t="shared" si="15"/>
        <v>44309</v>
      </c>
    </row>
    <row r="127" spans="1:12">
      <c r="A127" s="11" t="s">
        <v>288</v>
      </c>
      <c r="B127" s="11" t="s">
        <v>289</v>
      </c>
      <c r="C127" s="11" t="s">
        <v>30</v>
      </c>
      <c r="D127" s="12">
        <v>44654</v>
      </c>
      <c r="E127" s="13">
        <f t="shared" si="8"/>
        <v>2022</v>
      </c>
      <c r="F127" s="13">
        <f t="shared" si="9"/>
        <v>3</v>
      </c>
      <c r="G127" s="13">
        <f t="shared" si="10"/>
        <v>4</v>
      </c>
      <c r="H127" s="13">
        <f t="shared" si="11"/>
        <v>1</v>
      </c>
      <c r="I127" s="13">
        <f t="shared" si="12"/>
        <v>15</v>
      </c>
      <c r="J127" s="14" t="str">
        <f t="shared" si="13"/>
        <v>April</v>
      </c>
      <c r="K127" s="13" t="str">
        <f t="shared" si="14"/>
        <v>Tuesday</v>
      </c>
      <c r="L127" s="15">
        <f t="shared" si="15"/>
        <v>44654</v>
      </c>
    </row>
    <row r="128" spans="1:12">
      <c r="A128" s="11" t="s">
        <v>290</v>
      </c>
      <c r="B128" s="11" t="s">
        <v>291</v>
      </c>
      <c r="C128" s="11" t="s">
        <v>30</v>
      </c>
      <c r="D128" s="12">
        <v>44937</v>
      </c>
      <c r="E128" s="13">
        <f t="shared" si="8"/>
        <v>2023</v>
      </c>
      <c r="F128" s="13">
        <f t="shared" si="9"/>
        <v>11</v>
      </c>
      <c r="G128" s="13">
        <f t="shared" si="10"/>
        <v>1</v>
      </c>
      <c r="H128" s="13">
        <f t="shared" si="11"/>
        <v>4</v>
      </c>
      <c r="I128" s="13">
        <f t="shared" si="12"/>
        <v>2</v>
      </c>
      <c r="J128" s="14" t="str">
        <f t="shared" si="13"/>
        <v>January</v>
      </c>
      <c r="K128" s="13" t="str">
        <f t="shared" si="14"/>
        <v>Wednesday</v>
      </c>
      <c r="L128" s="15">
        <f t="shared" si="15"/>
        <v>44937</v>
      </c>
    </row>
    <row r="129" spans="1:12">
      <c r="A129" s="11" t="s">
        <v>292</v>
      </c>
      <c r="B129" s="11" t="s">
        <v>293</v>
      </c>
      <c r="C129" s="11" t="s">
        <v>30</v>
      </c>
      <c r="D129" s="12">
        <v>44397</v>
      </c>
      <c r="E129" s="13">
        <f t="shared" si="8"/>
        <v>2021</v>
      </c>
      <c r="F129" s="13">
        <f t="shared" si="9"/>
        <v>20</v>
      </c>
      <c r="G129" s="13">
        <f t="shared" si="10"/>
        <v>7</v>
      </c>
      <c r="H129" s="13">
        <f t="shared" si="11"/>
        <v>3</v>
      </c>
      <c r="I129" s="13">
        <f t="shared" si="12"/>
        <v>30</v>
      </c>
      <c r="J129" s="14" t="str">
        <f t="shared" si="13"/>
        <v>July</v>
      </c>
      <c r="K129" s="13" t="str">
        <f t="shared" si="14"/>
        <v>Friday</v>
      </c>
      <c r="L129" s="15">
        <f t="shared" si="15"/>
        <v>44397</v>
      </c>
    </row>
    <row r="130" spans="1:12">
      <c r="A130" s="11" t="s">
        <v>294</v>
      </c>
      <c r="B130" s="11" t="s">
        <v>295</v>
      </c>
      <c r="C130" s="11" t="s">
        <v>58</v>
      </c>
      <c r="D130" s="12">
        <v>44315</v>
      </c>
      <c r="E130" s="13">
        <f t="shared" si="8"/>
        <v>2021</v>
      </c>
      <c r="F130" s="13">
        <f t="shared" si="9"/>
        <v>29</v>
      </c>
      <c r="G130" s="13">
        <f t="shared" si="10"/>
        <v>4</v>
      </c>
      <c r="H130" s="13">
        <f t="shared" si="11"/>
        <v>5</v>
      </c>
      <c r="I130" s="13">
        <f t="shared" si="12"/>
        <v>18</v>
      </c>
      <c r="J130" s="14" t="str">
        <f t="shared" si="13"/>
        <v>April</v>
      </c>
      <c r="K130" s="13" t="str">
        <f t="shared" si="14"/>
        <v>Sunday</v>
      </c>
      <c r="L130" s="15">
        <f t="shared" si="15"/>
        <v>44315</v>
      </c>
    </row>
    <row r="131" spans="1:12">
      <c r="A131" s="11" t="s">
        <v>296</v>
      </c>
      <c r="B131" s="11" t="s">
        <v>297</v>
      </c>
      <c r="C131" s="11" t="s">
        <v>130</v>
      </c>
      <c r="D131" s="12">
        <v>44537</v>
      </c>
      <c r="E131" s="13">
        <f t="shared" ref="E131:E194" si="16">YEAR(D131)</f>
        <v>2021</v>
      </c>
      <c r="F131" s="13">
        <f t="shared" ref="F131:F194" si="17">DAY(D131)</f>
        <v>7</v>
      </c>
      <c r="G131" s="13">
        <f t="shared" ref="G131:G194" si="18">MONTH(D131)</f>
        <v>12</v>
      </c>
      <c r="H131" s="13">
        <f t="shared" ref="H131:H194" si="19">WEEKDAY(D131)</f>
        <v>3</v>
      </c>
      <c r="I131" s="13">
        <f t="shared" ref="I131:I194" si="20">WEEKNUM(D131)</f>
        <v>50</v>
      </c>
      <c r="J131" s="14" t="str">
        <f t="shared" ref="J131:J194" si="21">TEXT(D131,"mmmm")</f>
        <v>December</v>
      </c>
      <c r="K131" s="13" t="str">
        <f t="shared" ref="K131:K194" si="22">TEXT(DAY(D131),"dddd")</f>
        <v>Saturday</v>
      </c>
      <c r="L131" s="15">
        <f t="shared" ref="L131:L194" si="23">DATE(E131,G131,F131)</f>
        <v>44537</v>
      </c>
    </row>
    <row r="132" spans="1:12">
      <c r="A132" s="11" t="s">
        <v>298</v>
      </c>
      <c r="B132" s="11" t="s">
        <v>299</v>
      </c>
      <c r="C132" s="11" t="s">
        <v>130</v>
      </c>
      <c r="D132" s="12">
        <v>44423</v>
      </c>
      <c r="E132" s="13">
        <f t="shared" si="16"/>
        <v>2021</v>
      </c>
      <c r="F132" s="13">
        <f t="shared" si="17"/>
        <v>15</v>
      </c>
      <c r="G132" s="13">
        <f t="shared" si="18"/>
        <v>8</v>
      </c>
      <c r="H132" s="13">
        <f t="shared" si="19"/>
        <v>1</v>
      </c>
      <c r="I132" s="13">
        <f t="shared" si="20"/>
        <v>34</v>
      </c>
      <c r="J132" s="14" t="str">
        <f t="shared" si="21"/>
        <v>August</v>
      </c>
      <c r="K132" s="13" t="str">
        <f t="shared" si="22"/>
        <v>Sunday</v>
      </c>
      <c r="L132" s="15">
        <f t="shared" si="23"/>
        <v>44423</v>
      </c>
    </row>
    <row r="133" spans="1:12">
      <c r="A133" s="11" t="s">
        <v>300</v>
      </c>
      <c r="B133" s="11" t="s">
        <v>301</v>
      </c>
      <c r="C133" s="11" t="s">
        <v>130</v>
      </c>
      <c r="D133" s="12">
        <v>44361</v>
      </c>
      <c r="E133" s="13">
        <f t="shared" si="16"/>
        <v>2021</v>
      </c>
      <c r="F133" s="13">
        <f t="shared" si="17"/>
        <v>14</v>
      </c>
      <c r="G133" s="13">
        <f t="shared" si="18"/>
        <v>6</v>
      </c>
      <c r="H133" s="13">
        <f t="shared" si="19"/>
        <v>2</v>
      </c>
      <c r="I133" s="13">
        <f t="shared" si="20"/>
        <v>25</v>
      </c>
      <c r="J133" s="14" t="str">
        <f t="shared" si="21"/>
        <v>June</v>
      </c>
      <c r="K133" s="13" t="str">
        <f t="shared" si="22"/>
        <v>Saturday</v>
      </c>
      <c r="L133" s="15">
        <f t="shared" si="23"/>
        <v>44361</v>
      </c>
    </row>
    <row r="134" spans="1:12">
      <c r="A134" s="11" t="s">
        <v>302</v>
      </c>
      <c r="B134" s="11" t="s">
        <v>303</v>
      </c>
      <c r="C134" s="11" t="s">
        <v>130</v>
      </c>
      <c r="D134" s="12">
        <v>44698</v>
      </c>
      <c r="E134" s="13">
        <f t="shared" si="16"/>
        <v>2022</v>
      </c>
      <c r="F134" s="13">
        <f t="shared" si="17"/>
        <v>17</v>
      </c>
      <c r="G134" s="13">
        <f t="shared" si="18"/>
        <v>5</v>
      </c>
      <c r="H134" s="13">
        <f t="shared" si="19"/>
        <v>3</v>
      </c>
      <c r="I134" s="13">
        <f t="shared" si="20"/>
        <v>21</v>
      </c>
      <c r="J134" s="14" t="str">
        <f t="shared" si="21"/>
        <v>May</v>
      </c>
      <c r="K134" s="13" t="str">
        <f t="shared" si="22"/>
        <v>Tuesday</v>
      </c>
      <c r="L134" s="15">
        <f t="shared" si="23"/>
        <v>44698</v>
      </c>
    </row>
    <row r="135" spans="1:12">
      <c r="A135" s="11" t="s">
        <v>304</v>
      </c>
      <c r="B135" s="11" t="s">
        <v>305</v>
      </c>
      <c r="C135" s="11" t="s">
        <v>65</v>
      </c>
      <c r="D135" s="12">
        <v>44543</v>
      </c>
      <c r="E135" s="13">
        <f t="shared" si="16"/>
        <v>2021</v>
      </c>
      <c r="F135" s="13">
        <f t="shared" si="17"/>
        <v>13</v>
      </c>
      <c r="G135" s="13">
        <f t="shared" si="18"/>
        <v>12</v>
      </c>
      <c r="H135" s="13">
        <f t="shared" si="19"/>
        <v>2</v>
      </c>
      <c r="I135" s="13">
        <f t="shared" si="20"/>
        <v>51</v>
      </c>
      <c r="J135" s="14" t="str">
        <f t="shared" si="21"/>
        <v>December</v>
      </c>
      <c r="K135" s="13" t="str">
        <f t="shared" si="22"/>
        <v>Friday</v>
      </c>
      <c r="L135" s="15">
        <f t="shared" si="23"/>
        <v>44543</v>
      </c>
    </row>
    <row r="136" spans="1:12">
      <c r="A136" s="11" t="s">
        <v>306</v>
      </c>
      <c r="B136" s="11" t="s">
        <v>307</v>
      </c>
      <c r="C136" s="11" t="s">
        <v>65</v>
      </c>
      <c r="D136" s="12">
        <v>44714</v>
      </c>
      <c r="E136" s="13">
        <f t="shared" si="16"/>
        <v>2022</v>
      </c>
      <c r="F136" s="13">
        <f t="shared" si="17"/>
        <v>2</v>
      </c>
      <c r="G136" s="13">
        <f t="shared" si="18"/>
        <v>6</v>
      </c>
      <c r="H136" s="13">
        <f t="shared" si="19"/>
        <v>5</v>
      </c>
      <c r="I136" s="13">
        <f t="shared" si="20"/>
        <v>23</v>
      </c>
      <c r="J136" s="14" t="str">
        <f t="shared" si="21"/>
        <v>June</v>
      </c>
      <c r="K136" s="13" t="str">
        <f t="shared" si="22"/>
        <v>Monday</v>
      </c>
      <c r="L136" s="15">
        <f t="shared" si="23"/>
        <v>44714</v>
      </c>
    </row>
    <row r="137" spans="1:12">
      <c r="A137" s="11" t="s">
        <v>308</v>
      </c>
      <c r="B137" s="11" t="s">
        <v>309</v>
      </c>
      <c r="C137" s="11" t="s">
        <v>65</v>
      </c>
      <c r="D137" s="12">
        <v>44559</v>
      </c>
      <c r="E137" s="13">
        <f t="shared" si="16"/>
        <v>2021</v>
      </c>
      <c r="F137" s="13">
        <f t="shared" si="17"/>
        <v>29</v>
      </c>
      <c r="G137" s="13">
        <f t="shared" si="18"/>
        <v>12</v>
      </c>
      <c r="H137" s="13">
        <f t="shared" si="19"/>
        <v>4</v>
      </c>
      <c r="I137" s="13">
        <f t="shared" si="20"/>
        <v>53</v>
      </c>
      <c r="J137" s="14" t="str">
        <f t="shared" si="21"/>
        <v>December</v>
      </c>
      <c r="K137" s="13" t="str">
        <f t="shared" si="22"/>
        <v>Sunday</v>
      </c>
      <c r="L137" s="15">
        <f t="shared" si="23"/>
        <v>44559</v>
      </c>
    </row>
    <row r="138" spans="1:12">
      <c r="A138" s="11" t="s">
        <v>310</v>
      </c>
      <c r="B138" s="11" t="s">
        <v>311</v>
      </c>
      <c r="C138" s="11" t="s">
        <v>58</v>
      </c>
      <c r="D138" s="12">
        <v>44634</v>
      </c>
      <c r="E138" s="13">
        <f t="shared" si="16"/>
        <v>2022</v>
      </c>
      <c r="F138" s="13">
        <f t="shared" si="17"/>
        <v>14</v>
      </c>
      <c r="G138" s="13">
        <f t="shared" si="18"/>
        <v>3</v>
      </c>
      <c r="H138" s="13">
        <f t="shared" si="19"/>
        <v>2</v>
      </c>
      <c r="I138" s="13">
        <f t="shared" si="20"/>
        <v>12</v>
      </c>
      <c r="J138" s="14" t="str">
        <f t="shared" si="21"/>
        <v>March</v>
      </c>
      <c r="K138" s="13" t="str">
        <f t="shared" si="22"/>
        <v>Saturday</v>
      </c>
      <c r="L138" s="15">
        <f t="shared" si="23"/>
        <v>44634</v>
      </c>
    </row>
    <row r="139" spans="1:12">
      <c r="A139" s="11" t="s">
        <v>312</v>
      </c>
      <c r="B139" s="11" t="s">
        <v>313</v>
      </c>
      <c r="C139" s="11" t="s">
        <v>58</v>
      </c>
      <c r="D139" s="12">
        <v>44790</v>
      </c>
      <c r="E139" s="13">
        <f t="shared" si="16"/>
        <v>2022</v>
      </c>
      <c r="F139" s="13">
        <f t="shared" si="17"/>
        <v>17</v>
      </c>
      <c r="G139" s="13">
        <f t="shared" si="18"/>
        <v>8</v>
      </c>
      <c r="H139" s="13">
        <f t="shared" si="19"/>
        <v>4</v>
      </c>
      <c r="I139" s="13">
        <f t="shared" si="20"/>
        <v>34</v>
      </c>
      <c r="J139" s="14" t="str">
        <f t="shared" si="21"/>
        <v>August</v>
      </c>
      <c r="K139" s="13" t="str">
        <f t="shared" si="22"/>
        <v>Tuesday</v>
      </c>
      <c r="L139" s="15">
        <f t="shared" si="23"/>
        <v>44790</v>
      </c>
    </row>
    <row r="140" spans="1:12">
      <c r="A140" s="11" t="s">
        <v>314</v>
      </c>
      <c r="B140" s="11" t="s">
        <v>315</v>
      </c>
      <c r="C140" s="11" t="s">
        <v>58</v>
      </c>
      <c r="D140" s="12">
        <v>44413</v>
      </c>
      <c r="E140" s="13">
        <f t="shared" si="16"/>
        <v>2021</v>
      </c>
      <c r="F140" s="13">
        <f t="shared" si="17"/>
        <v>5</v>
      </c>
      <c r="G140" s="13">
        <f t="shared" si="18"/>
        <v>8</v>
      </c>
      <c r="H140" s="13">
        <f t="shared" si="19"/>
        <v>5</v>
      </c>
      <c r="I140" s="13">
        <f t="shared" si="20"/>
        <v>32</v>
      </c>
      <c r="J140" s="14" t="str">
        <f t="shared" si="21"/>
        <v>August</v>
      </c>
      <c r="K140" s="13" t="str">
        <f t="shared" si="22"/>
        <v>Thursday</v>
      </c>
      <c r="L140" s="15">
        <f t="shared" si="23"/>
        <v>44413</v>
      </c>
    </row>
    <row r="141" spans="1:12">
      <c r="A141" s="11" t="s">
        <v>316</v>
      </c>
      <c r="B141" s="11" t="s">
        <v>317</v>
      </c>
      <c r="C141" s="11" t="s">
        <v>30</v>
      </c>
      <c r="D141" s="12">
        <v>44637</v>
      </c>
      <c r="E141" s="13">
        <f t="shared" si="16"/>
        <v>2022</v>
      </c>
      <c r="F141" s="13">
        <f t="shared" si="17"/>
        <v>17</v>
      </c>
      <c r="G141" s="13">
        <f t="shared" si="18"/>
        <v>3</v>
      </c>
      <c r="H141" s="13">
        <f t="shared" si="19"/>
        <v>5</v>
      </c>
      <c r="I141" s="13">
        <f t="shared" si="20"/>
        <v>12</v>
      </c>
      <c r="J141" s="14" t="str">
        <f t="shared" si="21"/>
        <v>March</v>
      </c>
      <c r="K141" s="13" t="str">
        <f t="shared" si="22"/>
        <v>Tuesday</v>
      </c>
      <c r="L141" s="15">
        <f t="shared" si="23"/>
        <v>44637</v>
      </c>
    </row>
    <row r="142" spans="1:12">
      <c r="A142" s="11" t="s">
        <v>318</v>
      </c>
      <c r="B142" s="11" t="s">
        <v>319</v>
      </c>
      <c r="C142" s="11" t="s">
        <v>30</v>
      </c>
      <c r="D142" s="12">
        <v>44463</v>
      </c>
      <c r="E142" s="13">
        <f t="shared" si="16"/>
        <v>2021</v>
      </c>
      <c r="F142" s="13">
        <f t="shared" si="17"/>
        <v>24</v>
      </c>
      <c r="G142" s="13">
        <f t="shared" si="18"/>
        <v>9</v>
      </c>
      <c r="H142" s="13">
        <f t="shared" si="19"/>
        <v>6</v>
      </c>
      <c r="I142" s="13">
        <f t="shared" si="20"/>
        <v>39</v>
      </c>
      <c r="J142" s="14" t="str">
        <f t="shared" si="21"/>
        <v>September</v>
      </c>
      <c r="K142" s="13" t="str">
        <f t="shared" si="22"/>
        <v>Tuesday</v>
      </c>
      <c r="L142" s="15">
        <f t="shared" si="23"/>
        <v>44463</v>
      </c>
    </row>
    <row r="143" spans="1:12">
      <c r="A143" s="11" t="s">
        <v>320</v>
      </c>
      <c r="B143" s="11" t="s">
        <v>321</v>
      </c>
      <c r="C143" s="11" t="s">
        <v>30</v>
      </c>
      <c r="D143" s="12">
        <v>44332</v>
      </c>
      <c r="E143" s="13">
        <f t="shared" si="16"/>
        <v>2021</v>
      </c>
      <c r="F143" s="13">
        <f t="shared" si="17"/>
        <v>16</v>
      </c>
      <c r="G143" s="13">
        <f t="shared" si="18"/>
        <v>5</v>
      </c>
      <c r="H143" s="13">
        <f t="shared" si="19"/>
        <v>1</v>
      </c>
      <c r="I143" s="13">
        <f t="shared" si="20"/>
        <v>21</v>
      </c>
      <c r="J143" s="14" t="str">
        <f t="shared" si="21"/>
        <v>May</v>
      </c>
      <c r="K143" s="13" t="str">
        <f t="shared" si="22"/>
        <v>Monday</v>
      </c>
      <c r="L143" s="15">
        <f t="shared" si="23"/>
        <v>44332</v>
      </c>
    </row>
    <row r="144" spans="1:12">
      <c r="A144" s="11" t="s">
        <v>322</v>
      </c>
      <c r="B144" s="11" t="s">
        <v>323</v>
      </c>
      <c r="C144" s="11" t="s">
        <v>30</v>
      </c>
      <c r="D144" s="12">
        <v>44638</v>
      </c>
      <c r="E144" s="13">
        <f t="shared" si="16"/>
        <v>2022</v>
      </c>
      <c r="F144" s="13">
        <f t="shared" si="17"/>
        <v>18</v>
      </c>
      <c r="G144" s="13">
        <f t="shared" si="18"/>
        <v>3</v>
      </c>
      <c r="H144" s="13">
        <f t="shared" si="19"/>
        <v>6</v>
      </c>
      <c r="I144" s="13">
        <f t="shared" si="20"/>
        <v>12</v>
      </c>
      <c r="J144" s="14" t="str">
        <f t="shared" si="21"/>
        <v>March</v>
      </c>
      <c r="K144" s="13" t="str">
        <f t="shared" si="22"/>
        <v>Wednesday</v>
      </c>
      <c r="L144" s="15">
        <f t="shared" si="23"/>
        <v>44638</v>
      </c>
    </row>
    <row r="145" spans="1:12">
      <c r="A145" s="11" t="s">
        <v>324</v>
      </c>
      <c r="B145" s="11" t="s">
        <v>325</v>
      </c>
      <c r="C145" s="11" t="s">
        <v>30</v>
      </c>
      <c r="D145" s="12">
        <v>44861</v>
      </c>
      <c r="E145" s="13">
        <f t="shared" si="16"/>
        <v>2022</v>
      </c>
      <c r="F145" s="13">
        <f t="shared" si="17"/>
        <v>27</v>
      </c>
      <c r="G145" s="13">
        <f t="shared" si="18"/>
        <v>10</v>
      </c>
      <c r="H145" s="13">
        <f t="shared" si="19"/>
        <v>5</v>
      </c>
      <c r="I145" s="13">
        <f t="shared" si="20"/>
        <v>44</v>
      </c>
      <c r="J145" s="14" t="str">
        <f t="shared" si="21"/>
        <v>October</v>
      </c>
      <c r="K145" s="13" t="str">
        <f t="shared" si="22"/>
        <v>Friday</v>
      </c>
      <c r="L145" s="15">
        <f t="shared" si="23"/>
        <v>44861</v>
      </c>
    </row>
    <row r="146" spans="1:12">
      <c r="A146" s="11" t="s">
        <v>326</v>
      </c>
      <c r="B146" s="11" t="s">
        <v>327</v>
      </c>
      <c r="C146" s="11" t="s">
        <v>30</v>
      </c>
      <c r="D146" s="12">
        <v>44629</v>
      </c>
      <c r="E146" s="13">
        <f t="shared" si="16"/>
        <v>2022</v>
      </c>
      <c r="F146" s="13">
        <f t="shared" si="17"/>
        <v>9</v>
      </c>
      <c r="G146" s="13">
        <f t="shared" si="18"/>
        <v>3</v>
      </c>
      <c r="H146" s="13">
        <f t="shared" si="19"/>
        <v>4</v>
      </c>
      <c r="I146" s="13">
        <f t="shared" si="20"/>
        <v>11</v>
      </c>
      <c r="J146" s="14" t="str">
        <f t="shared" si="21"/>
        <v>March</v>
      </c>
      <c r="K146" s="13" t="str">
        <f t="shared" si="22"/>
        <v>Monday</v>
      </c>
      <c r="L146" s="15">
        <f t="shared" si="23"/>
        <v>44629</v>
      </c>
    </row>
    <row r="147" spans="1:12">
      <c r="A147" s="11" t="s">
        <v>328</v>
      </c>
      <c r="B147" s="11" t="s">
        <v>329</v>
      </c>
      <c r="C147" s="11" t="s">
        <v>30</v>
      </c>
      <c r="D147" s="12">
        <v>44356</v>
      </c>
      <c r="E147" s="13">
        <f t="shared" si="16"/>
        <v>2021</v>
      </c>
      <c r="F147" s="13">
        <f t="shared" si="17"/>
        <v>9</v>
      </c>
      <c r="G147" s="13">
        <f t="shared" si="18"/>
        <v>6</v>
      </c>
      <c r="H147" s="13">
        <f t="shared" si="19"/>
        <v>4</v>
      </c>
      <c r="I147" s="13">
        <f t="shared" si="20"/>
        <v>24</v>
      </c>
      <c r="J147" s="14" t="str">
        <f t="shared" si="21"/>
        <v>June</v>
      </c>
      <c r="K147" s="13" t="str">
        <f t="shared" si="22"/>
        <v>Monday</v>
      </c>
      <c r="L147" s="15">
        <f t="shared" si="23"/>
        <v>44356</v>
      </c>
    </row>
    <row r="148" spans="1:12">
      <c r="A148" s="11" t="s">
        <v>330</v>
      </c>
      <c r="B148" s="11" t="s">
        <v>331</v>
      </c>
      <c r="C148" s="11" t="s">
        <v>30</v>
      </c>
      <c r="D148" s="12">
        <v>44383</v>
      </c>
      <c r="E148" s="13">
        <f t="shared" si="16"/>
        <v>2021</v>
      </c>
      <c r="F148" s="13">
        <f t="shared" si="17"/>
        <v>6</v>
      </c>
      <c r="G148" s="13">
        <f t="shared" si="18"/>
        <v>7</v>
      </c>
      <c r="H148" s="13">
        <f t="shared" si="19"/>
        <v>3</v>
      </c>
      <c r="I148" s="13">
        <f t="shared" si="20"/>
        <v>28</v>
      </c>
      <c r="J148" s="14" t="str">
        <f t="shared" si="21"/>
        <v>July</v>
      </c>
      <c r="K148" s="13" t="str">
        <f t="shared" si="22"/>
        <v>Friday</v>
      </c>
      <c r="L148" s="15">
        <f t="shared" si="23"/>
        <v>44383</v>
      </c>
    </row>
    <row r="149" spans="1:12">
      <c r="A149" s="11" t="s">
        <v>332</v>
      </c>
      <c r="B149" s="11" t="s">
        <v>333</v>
      </c>
      <c r="C149" s="11" t="s">
        <v>30</v>
      </c>
      <c r="D149" s="12">
        <v>44611</v>
      </c>
      <c r="E149" s="13">
        <f t="shared" si="16"/>
        <v>2022</v>
      </c>
      <c r="F149" s="13">
        <f t="shared" si="17"/>
        <v>19</v>
      </c>
      <c r="G149" s="13">
        <f t="shared" si="18"/>
        <v>2</v>
      </c>
      <c r="H149" s="13">
        <f t="shared" si="19"/>
        <v>7</v>
      </c>
      <c r="I149" s="13">
        <f t="shared" si="20"/>
        <v>8</v>
      </c>
      <c r="J149" s="14" t="str">
        <f t="shared" si="21"/>
        <v>February</v>
      </c>
      <c r="K149" s="13" t="str">
        <f t="shared" si="22"/>
        <v>Thursday</v>
      </c>
      <c r="L149" s="15">
        <f t="shared" si="23"/>
        <v>44611</v>
      </c>
    </row>
    <row r="150" spans="1:12">
      <c r="A150" s="11" t="s">
        <v>334</v>
      </c>
      <c r="B150" s="11" t="s">
        <v>335</v>
      </c>
      <c r="C150" s="11" t="s">
        <v>30</v>
      </c>
      <c r="D150" s="12">
        <v>44843</v>
      </c>
      <c r="E150" s="13">
        <f t="shared" si="16"/>
        <v>2022</v>
      </c>
      <c r="F150" s="13">
        <f t="shared" si="17"/>
        <v>9</v>
      </c>
      <c r="G150" s="13">
        <f t="shared" si="18"/>
        <v>10</v>
      </c>
      <c r="H150" s="13">
        <f t="shared" si="19"/>
        <v>1</v>
      </c>
      <c r="I150" s="13">
        <f t="shared" si="20"/>
        <v>42</v>
      </c>
      <c r="J150" s="14" t="str">
        <f t="shared" si="21"/>
        <v>October</v>
      </c>
      <c r="K150" s="13" t="str">
        <f t="shared" si="22"/>
        <v>Monday</v>
      </c>
      <c r="L150" s="15">
        <f t="shared" si="23"/>
        <v>44843</v>
      </c>
    </row>
    <row r="151" spans="1:12">
      <c r="A151" s="11" t="s">
        <v>336</v>
      </c>
      <c r="B151" s="11" t="s">
        <v>337</v>
      </c>
      <c r="C151" s="11" t="s">
        <v>58</v>
      </c>
      <c r="D151" s="12">
        <v>44465</v>
      </c>
      <c r="E151" s="13">
        <f t="shared" si="16"/>
        <v>2021</v>
      </c>
      <c r="F151" s="13">
        <f t="shared" si="17"/>
        <v>26</v>
      </c>
      <c r="G151" s="13">
        <f t="shared" si="18"/>
        <v>9</v>
      </c>
      <c r="H151" s="13">
        <f t="shared" si="19"/>
        <v>1</v>
      </c>
      <c r="I151" s="13">
        <f t="shared" si="20"/>
        <v>40</v>
      </c>
      <c r="J151" s="14" t="str">
        <f t="shared" si="21"/>
        <v>September</v>
      </c>
      <c r="K151" s="13" t="str">
        <f t="shared" si="22"/>
        <v>Thursday</v>
      </c>
      <c r="L151" s="15">
        <f t="shared" si="23"/>
        <v>44465</v>
      </c>
    </row>
    <row r="152" spans="1:12">
      <c r="A152" s="11" t="s">
        <v>338</v>
      </c>
      <c r="B152" s="11" t="s">
        <v>339</v>
      </c>
      <c r="C152" s="11" t="s">
        <v>130</v>
      </c>
      <c r="D152" s="12">
        <v>44995</v>
      </c>
      <c r="E152" s="13">
        <f t="shared" si="16"/>
        <v>2023</v>
      </c>
      <c r="F152" s="13">
        <f t="shared" si="17"/>
        <v>10</v>
      </c>
      <c r="G152" s="13">
        <f t="shared" si="18"/>
        <v>3</v>
      </c>
      <c r="H152" s="13">
        <f t="shared" si="19"/>
        <v>6</v>
      </c>
      <c r="I152" s="13">
        <f t="shared" si="20"/>
        <v>10</v>
      </c>
      <c r="J152" s="14" t="str">
        <f t="shared" si="21"/>
        <v>March</v>
      </c>
      <c r="K152" s="13" t="str">
        <f t="shared" si="22"/>
        <v>Tuesday</v>
      </c>
      <c r="L152" s="15">
        <f t="shared" si="23"/>
        <v>44995</v>
      </c>
    </row>
    <row r="153" spans="1:12">
      <c r="A153" s="11" t="s">
        <v>340</v>
      </c>
      <c r="B153" s="11" t="s">
        <v>341</v>
      </c>
      <c r="C153" s="11" t="s">
        <v>130</v>
      </c>
      <c r="D153" s="12">
        <v>44886</v>
      </c>
      <c r="E153" s="13">
        <f t="shared" si="16"/>
        <v>2022</v>
      </c>
      <c r="F153" s="13">
        <f t="shared" si="17"/>
        <v>21</v>
      </c>
      <c r="G153" s="13">
        <f t="shared" si="18"/>
        <v>11</v>
      </c>
      <c r="H153" s="13">
        <f t="shared" si="19"/>
        <v>2</v>
      </c>
      <c r="I153" s="13">
        <f t="shared" si="20"/>
        <v>48</v>
      </c>
      <c r="J153" s="14" t="str">
        <f t="shared" si="21"/>
        <v>November</v>
      </c>
      <c r="K153" s="13" t="str">
        <f t="shared" si="22"/>
        <v>Saturday</v>
      </c>
      <c r="L153" s="15">
        <f t="shared" si="23"/>
        <v>44886</v>
      </c>
    </row>
    <row r="154" spans="1:12">
      <c r="A154" s="11" t="s">
        <v>342</v>
      </c>
      <c r="B154" s="11" t="s">
        <v>343</v>
      </c>
      <c r="C154" s="11" t="s">
        <v>130</v>
      </c>
      <c r="D154" s="12">
        <v>44478</v>
      </c>
      <c r="E154" s="13">
        <f t="shared" si="16"/>
        <v>2021</v>
      </c>
      <c r="F154" s="13">
        <f t="shared" si="17"/>
        <v>9</v>
      </c>
      <c r="G154" s="13">
        <f t="shared" si="18"/>
        <v>10</v>
      </c>
      <c r="H154" s="13">
        <f t="shared" si="19"/>
        <v>7</v>
      </c>
      <c r="I154" s="13">
        <f t="shared" si="20"/>
        <v>41</v>
      </c>
      <c r="J154" s="14" t="str">
        <f t="shared" si="21"/>
        <v>October</v>
      </c>
      <c r="K154" s="13" t="str">
        <f t="shared" si="22"/>
        <v>Monday</v>
      </c>
      <c r="L154" s="15">
        <f t="shared" si="23"/>
        <v>44478</v>
      </c>
    </row>
    <row r="155" spans="1:12">
      <c r="A155" s="11" t="s">
        <v>344</v>
      </c>
      <c r="B155" s="11" t="s">
        <v>345</v>
      </c>
      <c r="C155" s="11" t="s">
        <v>130</v>
      </c>
      <c r="D155" s="12">
        <v>44402</v>
      </c>
      <c r="E155" s="13">
        <f t="shared" si="16"/>
        <v>2021</v>
      </c>
      <c r="F155" s="13">
        <f t="shared" si="17"/>
        <v>25</v>
      </c>
      <c r="G155" s="13">
        <f t="shared" si="18"/>
        <v>7</v>
      </c>
      <c r="H155" s="13">
        <f t="shared" si="19"/>
        <v>1</v>
      </c>
      <c r="I155" s="13">
        <f t="shared" si="20"/>
        <v>31</v>
      </c>
      <c r="J155" s="14" t="str">
        <f t="shared" si="21"/>
        <v>July</v>
      </c>
      <c r="K155" s="13" t="str">
        <f t="shared" si="22"/>
        <v>Wednesday</v>
      </c>
      <c r="L155" s="15">
        <f t="shared" si="23"/>
        <v>44402</v>
      </c>
    </row>
    <row r="156" spans="1:12">
      <c r="A156" s="11" t="s">
        <v>346</v>
      </c>
      <c r="B156" s="11" t="s">
        <v>347</v>
      </c>
      <c r="C156" s="11" t="s">
        <v>65</v>
      </c>
      <c r="D156" s="12">
        <v>44995</v>
      </c>
      <c r="E156" s="13">
        <f t="shared" si="16"/>
        <v>2023</v>
      </c>
      <c r="F156" s="13">
        <f t="shared" si="17"/>
        <v>10</v>
      </c>
      <c r="G156" s="13">
        <f t="shared" si="18"/>
        <v>3</v>
      </c>
      <c r="H156" s="13">
        <f t="shared" si="19"/>
        <v>6</v>
      </c>
      <c r="I156" s="13">
        <f t="shared" si="20"/>
        <v>10</v>
      </c>
      <c r="J156" s="14" t="str">
        <f t="shared" si="21"/>
        <v>March</v>
      </c>
      <c r="K156" s="13" t="str">
        <f t="shared" si="22"/>
        <v>Tuesday</v>
      </c>
      <c r="L156" s="15">
        <f t="shared" si="23"/>
        <v>44995</v>
      </c>
    </row>
    <row r="157" spans="1:12">
      <c r="A157" s="11" t="s">
        <v>348</v>
      </c>
      <c r="B157" s="11" t="s">
        <v>349</v>
      </c>
      <c r="C157" s="11" t="s">
        <v>65</v>
      </c>
      <c r="D157" s="12">
        <v>44501</v>
      </c>
      <c r="E157" s="13">
        <f t="shared" si="16"/>
        <v>2021</v>
      </c>
      <c r="F157" s="13">
        <f t="shared" si="17"/>
        <v>1</v>
      </c>
      <c r="G157" s="13">
        <f t="shared" si="18"/>
        <v>11</v>
      </c>
      <c r="H157" s="13">
        <f t="shared" si="19"/>
        <v>2</v>
      </c>
      <c r="I157" s="13">
        <f t="shared" si="20"/>
        <v>45</v>
      </c>
      <c r="J157" s="14" t="str">
        <f t="shared" si="21"/>
        <v>November</v>
      </c>
      <c r="K157" s="13" t="str">
        <f t="shared" si="22"/>
        <v>Sunday</v>
      </c>
      <c r="L157" s="15">
        <f t="shared" si="23"/>
        <v>44501</v>
      </c>
    </row>
    <row r="158" spans="1:12">
      <c r="A158" s="11" t="s">
        <v>350</v>
      </c>
      <c r="B158" s="11" t="s">
        <v>351</v>
      </c>
      <c r="C158" s="11" t="s">
        <v>65</v>
      </c>
      <c r="D158" s="12">
        <v>44758</v>
      </c>
      <c r="E158" s="13">
        <f t="shared" si="16"/>
        <v>2022</v>
      </c>
      <c r="F158" s="13">
        <f t="shared" si="17"/>
        <v>16</v>
      </c>
      <c r="G158" s="13">
        <f t="shared" si="18"/>
        <v>7</v>
      </c>
      <c r="H158" s="13">
        <f t="shared" si="19"/>
        <v>7</v>
      </c>
      <c r="I158" s="13">
        <f t="shared" si="20"/>
        <v>29</v>
      </c>
      <c r="J158" s="14" t="str">
        <f t="shared" si="21"/>
        <v>July</v>
      </c>
      <c r="K158" s="13" t="str">
        <f t="shared" si="22"/>
        <v>Monday</v>
      </c>
      <c r="L158" s="15">
        <f t="shared" si="23"/>
        <v>44758</v>
      </c>
    </row>
    <row r="159" spans="1:12">
      <c r="A159" s="11" t="s">
        <v>352</v>
      </c>
      <c r="B159" s="11" t="s">
        <v>353</v>
      </c>
      <c r="C159" s="11" t="s">
        <v>58</v>
      </c>
      <c r="D159" s="12">
        <v>44628</v>
      </c>
      <c r="E159" s="13">
        <f t="shared" si="16"/>
        <v>2022</v>
      </c>
      <c r="F159" s="13">
        <f t="shared" si="17"/>
        <v>8</v>
      </c>
      <c r="G159" s="13">
        <f t="shared" si="18"/>
        <v>3</v>
      </c>
      <c r="H159" s="13">
        <f t="shared" si="19"/>
        <v>3</v>
      </c>
      <c r="I159" s="13">
        <f t="shared" si="20"/>
        <v>11</v>
      </c>
      <c r="J159" s="14" t="str">
        <f t="shared" si="21"/>
        <v>March</v>
      </c>
      <c r="K159" s="13" t="str">
        <f t="shared" si="22"/>
        <v>Sunday</v>
      </c>
      <c r="L159" s="15">
        <f t="shared" si="23"/>
        <v>44628</v>
      </c>
    </row>
    <row r="160" spans="1:12">
      <c r="A160" s="11" t="s">
        <v>354</v>
      </c>
      <c r="B160" s="11" t="s">
        <v>355</v>
      </c>
      <c r="C160" s="11" t="s">
        <v>58</v>
      </c>
      <c r="D160" s="12">
        <v>44838</v>
      </c>
      <c r="E160" s="13">
        <f t="shared" si="16"/>
        <v>2022</v>
      </c>
      <c r="F160" s="13">
        <f t="shared" si="17"/>
        <v>4</v>
      </c>
      <c r="G160" s="13">
        <f t="shared" si="18"/>
        <v>10</v>
      </c>
      <c r="H160" s="13">
        <f t="shared" si="19"/>
        <v>3</v>
      </c>
      <c r="I160" s="13">
        <f t="shared" si="20"/>
        <v>41</v>
      </c>
      <c r="J160" s="14" t="str">
        <f t="shared" si="21"/>
        <v>October</v>
      </c>
      <c r="K160" s="13" t="str">
        <f t="shared" si="22"/>
        <v>Wednesday</v>
      </c>
      <c r="L160" s="15">
        <f t="shared" si="23"/>
        <v>44838</v>
      </c>
    </row>
    <row r="161" spans="1:12">
      <c r="A161" s="11" t="s">
        <v>356</v>
      </c>
      <c r="B161" s="11" t="s">
        <v>357</v>
      </c>
      <c r="C161" s="11" t="s">
        <v>58</v>
      </c>
      <c r="D161" s="12">
        <v>44801</v>
      </c>
      <c r="E161" s="13">
        <f t="shared" si="16"/>
        <v>2022</v>
      </c>
      <c r="F161" s="13">
        <f t="shared" si="17"/>
        <v>28</v>
      </c>
      <c r="G161" s="13">
        <f t="shared" si="18"/>
        <v>8</v>
      </c>
      <c r="H161" s="13">
        <f t="shared" si="19"/>
        <v>1</v>
      </c>
      <c r="I161" s="13">
        <f t="shared" si="20"/>
        <v>36</v>
      </c>
      <c r="J161" s="14" t="str">
        <f t="shared" si="21"/>
        <v>August</v>
      </c>
      <c r="K161" s="13" t="str">
        <f t="shared" si="22"/>
        <v>Saturday</v>
      </c>
      <c r="L161" s="15">
        <f t="shared" si="23"/>
        <v>44801</v>
      </c>
    </row>
    <row r="162" spans="1:12">
      <c r="A162" s="11" t="s">
        <v>358</v>
      </c>
      <c r="B162" s="11" t="s">
        <v>359</v>
      </c>
      <c r="C162" s="11" t="s">
        <v>30</v>
      </c>
      <c r="D162" s="12">
        <v>44747</v>
      </c>
      <c r="E162" s="13">
        <f t="shared" si="16"/>
        <v>2022</v>
      </c>
      <c r="F162" s="13">
        <f t="shared" si="17"/>
        <v>5</v>
      </c>
      <c r="G162" s="13">
        <f t="shared" si="18"/>
        <v>7</v>
      </c>
      <c r="H162" s="13">
        <f t="shared" si="19"/>
        <v>3</v>
      </c>
      <c r="I162" s="13">
        <f t="shared" si="20"/>
        <v>28</v>
      </c>
      <c r="J162" s="14" t="str">
        <f t="shared" si="21"/>
        <v>July</v>
      </c>
      <c r="K162" s="13" t="str">
        <f t="shared" si="22"/>
        <v>Thursday</v>
      </c>
      <c r="L162" s="15">
        <f t="shared" si="23"/>
        <v>44747</v>
      </c>
    </row>
    <row r="163" spans="1:12">
      <c r="A163" s="11" t="s">
        <v>360</v>
      </c>
      <c r="B163" s="11" t="s">
        <v>361</v>
      </c>
      <c r="C163" s="11" t="s">
        <v>30</v>
      </c>
      <c r="D163" s="12">
        <v>44866</v>
      </c>
      <c r="E163" s="13">
        <f t="shared" si="16"/>
        <v>2022</v>
      </c>
      <c r="F163" s="13">
        <f t="shared" si="17"/>
        <v>1</v>
      </c>
      <c r="G163" s="13">
        <f t="shared" si="18"/>
        <v>11</v>
      </c>
      <c r="H163" s="13">
        <f t="shared" si="19"/>
        <v>3</v>
      </c>
      <c r="I163" s="13">
        <f t="shared" si="20"/>
        <v>45</v>
      </c>
      <c r="J163" s="14" t="str">
        <f t="shared" si="21"/>
        <v>November</v>
      </c>
      <c r="K163" s="13" t="str">
        <f t="shared" si="22"/>
        <v>Sunday</v>
      </c>
      <c r="L163" s="15">
        <f t="shared" si="23"/>
        <v>44866</v>
      </c>
    </row>
    <row r="164" spans="1:12">
      <c r="A164" s="11" t="s">
        <v>362</v>
      </c>
      <c r="B164" s="11" t="s">
        <v>363</v>
      </c>
      <c r="C164" s="11" t="s">
        <v>30</v>
      </c>
      <c r="D164" s="12">
        <v>44508</v>
      </c>
      <c r="E164" s="13">
        <f t="shared" si="16"/>
        <v>2021</v>
      </c>
      <c r="F164" s="13">
        <f t="shared" si="17"/>
        <v>8</v>
      </c>
      <c r="G164" s="13">
        <f t="shared" si="18"/>
        <v>11</v>
      </c>
      <c r="H164" s="13">
        <f t="shared" si="19"/>
        <v>2</v>
      </c>
      <c r="I164" s="13">
        <f t="shared" si="20"/>
        <v>46</v>
      </c>
      <c r="J164" s="14" t="str">
        <f t="shared" si="21"/>
        <v>November</v>
      </c>
      <c r="K164" s="13" t="str">
        <f t="shared" si="22"/>
        <v>Sunday</v>
      </c>
      <c r="L164" s="15">
        <f t="shared" si="23"/>
        <v>44508</v>
      </c>
    </row>
    <row r="165" spans="1:12">
      <c r="A165" s="11" t="s">
        <v>364</v>
      </c>
      <c r="B165" s="11" t="s">
        <v>365</v>
      </c>
      <c r="C165" s="11" t="s">
        <v>30</v>
      </c>
      <c r="D165" s="12">
        <v>44805</v>
      </c>
      <c r="E165" s="13">
        <f t="shared" si="16"/>
        <v>2022</v>
      </c>
      <c r="F165" s="13">
        <f t="shared" si="17"/>
        <v>1</v>
      </c>
      <c r="G165" s="13">
        <f t="shared" si="18"/>
        <v>9</v>
      </c>
      <c r="H165" s="13">
        <f t="shared" si="19"/>
        <v>5</v>
      </c>
      <c r="I165" s="13">
        <f t="shared" si="20"/>
        <v>36</v>
      </c>
      <c r="J165" s="14" t="str">
        <f t="shared" si="21"/>
        <v>September</v>
      </c>
      <c r="K165" s="13" t="str">
        <f t="shared" si="22"/>
        <v>Sunday</v>
      </c>
      <c r="L165" s="15">
        <f t="shared" si="23"/>
        <v>44805</v>
      </c>
    </row>
    <row r="166" spans="1:12">
      <c r="A166" s="11" t="s">
        <v>366</v>
      </c>
      <c r="B166" s="11" t="s">
        <v>367</v>
      </c>
      <c r="C166" s="11" t="s">
        <v>30</v>
      </c>
      <c r="D166" s="12">
        <v>44792</v>
      </c>
      <c r="E166" s="13">
        <f t="shared" si="16"/>
        <v>2022</v>
      </c>
      <c r="F166" s="13">
        <f t="shared" si="17"/>
        <v>19</v>
      </c>
      <c r="G166" s="13">
        <f t="shared" si="18"/>
        <v>8</v>
      </c>
      <c r="H166" s="13">
        <f t="shared" si="19"/>
        <v>6</v>
      </c>
      <c r="I166" s="13">
        <f t="shared" si="20"/>
        <v>34</v>
      </c>
      <c r="J166" s="14" t="str">
        <f t="shared" si="21"/>
        <v>August</v>
      </c>
      <c r="K166" s="13" t="str">
        <f t="shared" si="22"/>
        <v>Thursday</v>
      </c>
      <c r="L166" s="15">
        <f t="shared" si="23"/>
        <v>44792</v>
      </c>
    </row>
    <row r="167" spans="1:12">
      <c r="A167" s="11" t="s">
        <v>368</v>
      </c>
      <c r="B167" s="11" t="s">
        <v>369</v>
      </c>
      <c r="C167" s="11" t="s">
        <v>30</v>
      </c>
      <c r="D167" s="12">
        <v>44677</v>
      </c>
      <c r="E167" s="13">
        <f t="shared" si="16"/>
        <v>2022</v>
      </c>
      <c r="F167" s="13">
        <f t="shared" si="17"/>
        <v>26</v>
      </c>
      <c r="G167" s="13">
        <f t="shared" si="18"/>
        <v>4</v>
      </c>
      <c r="H167" s="13">
        <f t="shared" si="19"/>
        <v>3</v>
      </c>
      <c r="I167" s="13">
        <f t="shared" si="20"/>
        <v>18</v>
      </c>
      <c r="J167" s="14" t="str">
        <f t="shared" si="21"/>
        <v>April</v>
      </c>
      <c r="K167" s="13" t="str">
        <f t="shared" si="22"/>
        <v>Thursday</v>
      </c>
      <c r="L167" s="15">
        <f t="shared" si="23"/>
        <v>44677</v>
      </c>
    </row>
    <row r="168" spans="1:12">
      <c r="A168" s="11" t="s">
        <v>370</v>
      </c>
      <c r="B168" s="11" t="s">
        <v>371</v>
      </c>
      <c r="C168" s="11" t="s">
        <v>30</v>
      </c>
      <c r="D168" s="12">
        <v>44840</v>
      </c>
      <c r="E168" s="13">
        <f t="shared" si="16"/>
        <v>2022</v>
      </c>
      <c r="F168" s="13">
        <f t="shared" si="17"/>
        <v>6</v>
      </c>
      <c r="G168" s="13">
        <f t="shared" si="18"/>
        <v>10</v>
      </c>
      <c r="H168" s="13">
        <f t="shared" si="19"/>
        <v>5</v>
      </c>
      <c r="I168" s="13">
        <f t="shared" si="20"/>
        <v>41</v>
      </c>
      <c r="J168" s="14" t="str">
        <f t="shared" si="21"/>
        <v>October</v>
      </c>
      <c r="K168" s="13" t="str">
        <f t="shared" si="22"/>
        <v>Friday</v>
      </c>
      <c r="L168" s="15">
        <f t="shared" si="23"/>
        <v>44840</v>
      </c>
    </row>
    <row r="169" spans="1:12">
      <c r="A169" s="11" t="s">
        <v>372</v>
      </c>
      <c r="B169" s="11" t="s">
        <v>373</v>
      </c>
      <c r="C169" s="11" t="s">
        <v>30</v>
      </c>
      <c r="D169" s="12">
        <v>44352</v>
      </c>
      <c r="E169" s="13">
        <f t="shared" si="16"/>
        <v>2021</v>
      </c>
      <c r="F169" s="13">
        <f t="shared" si="17"/>
        <v>5</v>
      </c>
      <c r="G169" s="13">
        <f t="shared" si="18"/>
        <v>6</v>
      </c>
      <c r="H169" s="13">
        <f t="shared" si="19"/>
        <v>7</v>
      </c>
      <c r="I169" s="13">
        <f t="shared" si="20"/>
        <v>23</v>
      </c>
      <c r="J169" s="14" t="str">
        <f t="shared" si="21"/>
        <v>June</v>
      </c>
      <c r="K169" s="13" t="str">
        <f t="shared" si="22"/>
        <v>Thursday</v>
      </c>
      <c r="L169" s="15">
        <f t="shared" si="23"/>
        <v>44352</v>
      </c>
    </row>
    <row r="170" spans="1:12">
      <c r="A170" s="11" t="s">
        <v>374</v>
      </c>
      <c r="B170" s="11" t="s">
        <v>375</v>
      </c>
      <c r="C170" s="11" t="s">
        <v>30</v>
      </c>
      <c r="D170" s="12">
        <v>44628</v>
      </c>
      <c r="E170" s="13">
        <f t="shared" si="16"/>
        <v>2022</v>
      </c>
      <c r="F170" s="13">
        <f t="shared" si="17"/>
        <v>8</v>
      </c>
      <c r="G170" s="13">
        <f t="shared" si="18"/>
        <v>3</v>
      </c>
      <c r="H170" s="13">
        <f t="shared" si="19"/>
        <v>3</v>
      </c>
      <c r="I170" s="13">
        <f t="shared" si="20"/>
        <v>11</v>
      </c>
      <c r="J170" s="14" t="str">
        <f t="shared" si="21"/>
        <v>March</v>
      </c>
      <c r="K170" s="13" t="str">
        <f t="shared" si="22"/>
        <v>Sunday</v>
      </c>
      <c r="L170" s="15">
        <f t="shared" si="23"/>
        <v>44628</v>
      </c>
    </row>
    <row r="171" spans="1:12">
      <c r="A171" s="11" t="s">
        <v>376</v>
      </c>
      <c r="B171" s="11" t="s">
        <v>172</v>
      </c>
      <c r="C171" s="11" t="s">
        <v>30</v>
      </c>
      <c r="D171" s="12">
        <v>44769</v>
      </c>
      <c r="E171" s="13">
        <f t="shared" si="16"/>
        <v>2022</v>
      </c>
      <c r="F171" s="13">
        <f t="shared" si="17"/>
        <v>27</v>
      </c>
      <c r="G171" s="13">
        <f t="shared" si="18"/>
        <v>7</v>
      </c>
      <c r="H171" s="13">
        <f t="shared" si="19"/>
        <v>4</v>
      </c>
      <c r="I171" s="13">
        <f t="shared" si="20"/>
        <v>31</v>
      </c>
      <c r="J171" s="14" t="str">
        <f t="shared" si="21"/>
        <v>July</v>
      </c>
      <c r="K171" s="13" t="str">
        <f t="shared" si="22"/>
        <v>Friday</v>
      </c>
      <c r="L171" s="15">
        <f t="shared" si="23"/>
        <v>44769</v>
      </c>
    </row>
    <row r="172" spans="1:12">
      <c r="A172" s="11" t="s">
        <v>377</v>
      </c>
      <c r="B172" s="11" t="s">
        <v>174</v>
      </c>
      <c r="C172" s="11" t="s">
        <v>58</v>
      </c>
      <c r="D172" s="12">
        <v>44386</v>
      </c>
      <c r="E172" s="13">
        <f t="shared" si="16"/>
        <v>2021</v>
      </c>
      <c r="F172" s="13">
        <f t="shared" si="17"/>
        <v>9</v>
      </c>
      <c r="G172" s="13">
        <f t="shared" si="18"/>
        <v>7</v>
      </c>
      <c r="H172" s="13">
        <f t="shared" si="19"/>
        <v>6</v>
      </c>
      <c r="I172" s="13">
        <f t="shared" si="20"/>
        <v>28</v>
      </c>
      <c r="J172" s="14" t="str">
        <f t="shared" si="21"/>
        <v>July</v>
      </c>
      <c r="K172" s="13" t="str">
        <f t="shared" si="22"/>
        <v>Monday</v>
      </c>
      <c r="L172" s="15">
        <f t="shared" si="23"/>
        <v>44386</v>
      </c>
    </row>
    <row r="173" spans="1:12">
      <c r="A173" s="11" t="s">
        <v>378</v>
      </c>
      <c r="B173" s="11" t="s">
        <v>176</v>
      </c>
      <c r="C173" s="11" t="s">
        <v>130</v>
      </c>
      <c r="D173" s="12">
        <v>44989</v>
      </c>
      <c r="E173" s="13">
        <f t="shared" si="16"/>
        <v>2023</v>
      </c>
      <c r="F173" s="13">
        <f t="shared" si="17"/>
        <v>4</v>
      </c>
      <c r="G173" s="13">
        <f t="shared" si="18"/>
        <v>3</v>
      </c>
      <c r="H173" s="13">
        <f t="shared" si="19"/>
        <v>7</v>
      </c>
      <c r="I173" s="13">
        <f t="shared" si="20"/>
        <v>9</v>
      </c>
      <c r="J173" s="14" t="str">
        <f t="shared" si="21"/>
        <v>March</v>
      </c>
      <c r="K173" s="13" t="str">
        <f t="shared" si="22"/>
        <v>Wednesday</v>
      </c>
      <c r="L173" s="15">
        <f t="shared" si="23"/>
        <v>44989</v>
      </c>
    </row>
    <row r="174" spans="1:12">
      <c r="A174" s="11" t="s">
        <v>379</v>
      </c>
      <c r="B174" s="11" t="s">
        <v>178</v>
      </c>
      <c r="C174" s="11" t="s">
        <v>130</v>
      </c>
      <c r="D174" s="12">
        <v>44397</v>
      </c>
      <c r="E174" s="13">
        <f t="shared" si="16"/>
        <v>2021</v>
      </c>
      <c r="F174" s="13">
        <f t="shared" si="17"/>
        <v>20</v>
      </c>
      <c r="G174" s="13">
        <f t="shared" si="18"/>
        <v>7</v>
      </c>
      <c r="H174" s="13">
        <f t="shared" si="19"/>
        <v>3</v>
      </c>
      <c r="I174" s="13">
        <f t="shared" si="20"/>
        <v>30</v>
      </c>
      <c r="J174" s="14" t="str">
        <f t="shared" si="21"/>
        <v>July</v>
      </c>
      <c r="K174" s="13" t="str">
        <f t="shared" si="22"/>
        <v>Friday</v>
      </c>
      <c r="L174" s="15">
        <f t="shared" si="23"/>
        <v>44397</v>
      </c>
    </row>
    <row r="175" spans="1:12">
      <c r="A175" s="11" t="s">
        <v>380</v>
      </c>
      <c r="B175" s="11" t="s">
        <v>180</v>
      </c>
      <c r="C175" s="11" t="s">
        <v>130</v>
      </c>
      <c r="D175" s="12">
        <v>44713</v>
      </c>
      <c r="E175" s="13">
        <f t="shared" si="16"/>
        <v>2022</v>
      </c>
      <c r="F175" s="13">
        <f t="shared" si="17"/>
        <v>1</v>
      </c>
      <c r="G175" s="13">
        <f t="shared" si="18"/>
        <v>6</v>
      </c>
      <c r="H175" s="13">
        <f t="shared" si="19"/>
        <v>4</v>
      </c>
      <c r="I175" s="13">
        <f t="shared" si="20"/>
        <v>23</v>
      </c>
      <c r="J175" s="14" t="str">
        <f t="shared" si="21"/>
        <v>June</v>
      </c>
      <c r="K175" s="13" t="str">
        <f t="shared" si="22"/>
        <v>Sunday</v>
      </c>
      <c r="L175" s="15">
        <f t="shared" si="23"/>
        <v>44713</v>
      </c>
    </row>
    <row r="176" spans="1:12">
      <c r="A176" s="11" t="s">
        <v>381</v>
      </c>
      <c r="B176" s="11" t="s">
        <v>182</v>
      </c>
      <c r="C176" s="11" t="s">
        <v>130</v>
      </c>
      <c r="D176" s="12">
        <v>44978</v>
      </c>
      <c r="E176" s="13">
        <f t="shared" si="16"/>
        <v>2023</v>
      </c>
      <c r="F176" s="13">
        <f t="shared" si="17"/>
        <v>21</v>
      </c>
      <c r="G176" s="13">
        <f t="shared" si="18"/>
        <v>2</v>
      </c>
      <c r="H176" s="13">
        <f t="shared" si="19"/>
        <v>3</v>
      </c>
      <c r="I176" s="13">
        <f t="shared" si="20"/>
        <v>8</v>
      </c>
      <c r="J176" s="14" t="str">
        <f t="shared" si="21"/>
        <v>February</v>
      </c>
      <c r="K176" s="13" t="str">
        <f t="shared" si="22"/>
        <v>Saturday</v>
      </c>
      <c r="L176" s="15">
        <f t="shared" si="23"/>
        <v>44978</v>
      </c>
    </row>
    <row r="177" spans="1:12">
      <c r="A177" s="11" t="s">
        <v>382</v>
      </c>
      <c r="B177" s="11" t="s">
        <v>184</v>
      </c>
      <c r="C177" s="11" t="s">
        <v>65</v>
      </c>
      <c r="D177" s="12">
        <v>44665</v>
      </c>
      <c r="E177" s="13">
        <f t="shared" si="16"/>
        <v>2022</v>
      </c>
      <c r="F177" s="13">
        <f t="shared" si="17"/>
        <v>14</v>
      </c>
      <c r="G177" s="13">
        <f t="shared" si="18"/>
        <v>4</v>
      </c>
      <c r="H177" s="13">
        <f t="shared" si="19"/>
        <v>5</v>
      </c>
      <c r="I177" s="13">
        <f t="shared" si="20"/>
        <v>16</v>
      </c>
      <c r="J177" s="14" t="str">
        <f t="shared" si="21"/>
        <v>April</v>
      </c>
      <c r="K177" s="13" t="str">
        <f t="shared" si="22"/>
        <v>Saturday</v>
      </c>
      <c r="L177" s="15">
        <f t="shared" si="23"/>
        <v>44665</v>
      </c>
    </row>
    <row r="178" spans="1:12">
      <c r="A178" s="11" t="s">
        <v>383</v>
      </c>
      <c r="B178" s="11" t="s">
        <v>186</v>
      </c>
      <c r="C178" s="11" t="s">
        <v>65</v>
      </c>
      <c r="D178" s="12">
        <v>44613</v>
      </c>
      <c r="E178" s="13">
        <f t="shared" si="16"/>
        <v>2022</v>
      </c>
      <c r="F178" s="13">
        <f t="shared" si="17"/>
        <v>21</v>
      </c>
      <c r="G178" s="13">
        <f t="shared" si="18"/>
        <v>2</v>
      </c>
      <c r="H178" s="13">
        <f t="shared" si="19"/>
        <v>2</v>
      </c>
      <c r="I178" s="13">
        <f t="shared" si="20"/>
        <v>9</v>
      </c>
      <c r="J178" s="14" t="str">
        <f t="shared" si="21"/>
        <v>February</v>
      </c>
      <c r="K178" s="13" t="str">
        <f t="shared" si="22"/>
        <v>Saturday</v>
      </c>
      <c r="L178" s="15">
        <f t="shared" si="23"/>
        <v>44613</v>
      </c>
    </row>
    <row r="179" spans="1:12">
      <c r="A179" s="11" t="s">
        <v>384</v>
      </c>
      <c r="B179" s="11" t="s">
        <v>188</v>
      </c>
      <c r="C179" s="11" t="s">
        <v>65</v>
      </c>
      <c r="D179" s="12">
        <v>44532</v>
      </c>
      <c r="E179" s="13">
        <f t="shared" si="16"/>
        <v>2021</v>
      </c>
      <c r="F179" s="13">
        <f t="shared" si="17"/>
        <v>2</v>
      </c>
      <c r="G179" s="13">
        <f t="shared" si="18"/>
        <v>12</v>
      </c>
      <c r="H179" s="13">
        <f t="shared" si="19"/>
        <v>5</v>
      </c>
      <c r="I179" s="13">
        <f t="shared" si="20"/>
        <v>49</v>
      </c>
      <c r="J179" s="14" t="str">
        <f t="shared" si="21"/>
        <v>December</v>
      </c>
      <c r="K179" s="13" t="str">
        <f t="shared" si="22"/>
        <v>Monday</v>
      </c>
      <c r="L179" s="15">
        <f t="shared" si="23"/>
        <v>44532</v>
      </c>
    </row>
    <row r="180" spans="1:12">
      <c r="A180" s="11" t="s">
        <v>385</v>
      </c>
      <c r="B180" s="11" t="s">
        <v>190</v>
      </c>
      <c r="C180" s="11" t="s">
        <v>58</v>
      </c>
      <c r="D180" s="12">
        <v>44331</v>
      </c>
      <c r="E180" s="13">
        <f t="shared" si="16"/>
        <v>2021</v>
      </c>
      <c r="F180" s="13">
        <f t="shared" si="17"/>
        <v>15</v>
      </c>
      <c r="G180" s="13">
        <f t="shared" si="18"/>
        <v>5</v>
      </c>
      <c r="H180" s="13">
        <f t="shared" si="19"/>
        <v>7</v>
      </c>
      <c r="I180" s="13">
        <f t="shared" si="20"/>
        <v>20</v>
      </c>
      <c r="J180" s="14" t="str">
        <f t="shared" si="21"/>
        <v>May</v>
      </c>
      <c r="K180" s="13" t="str">
        <f t="shared" si="22"/>
        <v>Sunday</v>
      </c>
      <c r="L180" s="15">
        <f t="shared" si="23"/>
        <v>44331</v>
      </c>
    </row>
    <row r="181" spans="1:12">
      <c r="A181" s="11" t="s">
        <v>386</v>
      </c>
      <c r="B181" s="11" t="s">
        <v>192</v>
      </c>
      <c r="C181" s="11" t="s">
        <v>58</v>
      </c>
      <c r="D181" s="12">
        <v>44396</v>
      </c>
      <c r="E181" s="13">
        <f t="shared" si="16"/>
        <v>2021</v>
      </c>
      <c r="F181" s="13">
        <f t="shared" si="17"/>
        <v>19</v>
      </c>
      <c r="G181" s="13">
        <f t="shared" si="18"/>
        <v>7</v>
      </c>
      <c r="H181" s="13">
        <f t="shared" si="19"/>
        <v>2</v>
      </c>
      <c r="I181" s="13">
        <f t="shared" si="20"/>
        <v>30</v>
      </c>
      <c r="J181" s="14" t="str">
        <f t="shared" si="21"/>
        <v>July</v>
      </c>
      <c r="K181" s="13" t="str">
        <f t="shared" si="22"/>
        <v>Thursday</v>
      </c>
      <c r="L181" s="15">
        <f t="shared" si="23"/>
        <v>44396</v>
      </c>
    </row>
    <row r="182" spans="1:12">
      <c r="A182" s="11" t="s">
        <v>387</v>
      </c>
      <c r="B182" s="11" t="s">
        <v>194</v>
      </c>
      <c r="C182" s="11" t="s">
        <v>58</v>
      </c>
      <c r="D182" s="12">
        <v>44745</v>
      </c>
      <c r="E182" s="13">
        <f t="shared" si="16"/>
        <v>2022</v>
      </c>
      <c r="F182" s="13">
        <f t="shared" si="17"/>
        <v>3</v>
      </c>
      <c r="G182" s="13">
        <f t="shared" si="18"/>
        <v>7</v>
      </c>
      <c r="H182" s="13">
        <f t="shared" si="19"/>
        <v>1</v>
      </c>
      <c r="I182" s="13">
        <f t="shared" si="20"/>
        <v>28</v>
      </c>
      <c r="J182" s="14" t="str">
        <f t="shared" si="21"/>
        <v>July</v>
      </c>
      <c r="K182" s="13" t="str">
        <f t="shared" si="22"/>
        <v>Tuesday</v>
      </c>
      <c r="L182" s="15">
        <f t="shared" si="23"/>
        <v>44745</v>
      </c>
    </row>
    <row r="183" spans="1:12">
      <c r="A183" s="11" t="s">
        <v>388</v>
      </c>
      <c r="B183" s="11" t="s">
        <v>196</v>
      </c>
      <c r="C183" s="11" t="s">
        <v>30</v>
      </c>
      <c r="D183" s="12">
        <v>44558</v>
      </c>
      <c r="E183" s="13">
        <f t="shared" si="16"/>
        <v>2021</v>
      </c>
      <c r="F183" s="13">
        <f t="shared" si="17"/>
        <v>28</v>
      </c>
      <c r="G183" s="13">
        <f t="shared" si="18"/>
        <v>12</v>
      </c>
      <c r="H183" s="13">
        <f t="shared" si="19"/>
        <v>3</v>
      </c>
      <c r="I183" s="13">
        <f t="shared" si="20"/>
        <v>53</v>
      </c>
      <c r="J183" s="14" t="str">
        <f t="shared" si="21"/>
        <v>December</v>
      </c>
      <c r="K183" s="13" t="str">
        <f t="shared" si="22"/>
        <v>Saturday</v>
      </c>
      <c r="L183" s="15">
        <f t="shared" si="23"/>
        <v>44558</v>
      </c>
    </row>
    <row r="184" spans="1:12">
      <c r="A184" s="11" t="s">
        <v>389</v>
      </c>
      <c r="B184" s="11" t="s">
        <v>198</v>
      </c>
      <c r="C184" s="11" t="s">
        <v>30</v>
      </c>
      <c r="D184" s="12">
        <v>44445</v>
      </c>
      <c r="E184" s="13">
        <f t="shared" si="16"/>
        <v>2021</v>
      </c>
      <c r="F184" s="13">
        <f t="shared" si="17"/>
        <v>6</v>
      </c>
      <c r="G184" s="13">
        <f t="shared" si="18"/>
        <v>9</v>
      </c>
      <c r="H184" s="13">
        <f t="shared" si="19"/>
        <v>2</v>
      </c>
      <c r="I184" s="13">
        <f t="shared" si="20"/>
        <v>37</v>
      </c>
      <c r="J184" s="14" t="str">
        <f t="shared" si="21"/>
        <v>September</v>
      </c>
      <c r="K184" s="13" t="str">
        <f t="shared" si="22"/>
        <v>Friday</v>
      </c>
      <c r="L184" s="15">
        <f t="shared" si="23"/>
        <v>44445</v>
      </c>
    </row>
    <row r="185" spans="1:12">
      <c r="A185" s="11" t="s">
        <v>390</v>
      </c>
      <c r="B185" s="11" t="s">
        <v>200</v>
      </c>
      <c r="C185" s="11" t="s">
        <v>30</v>
      </c>
      <c r="D185" s="12">
        <v>44751</v>
      </c>
      <c r="E185" s="13">
        <f t="shared" si="16"/>
        <v>2022</v>
      </c>
      <c r="F185" s="13">
        <f t="shared" si="17"/>
        <v>9</v>
      </c>
      <c r="G185" s="13">
        <f t="shared" si="18"/>
        <v>7</v>
      </c>
      <c r="H185" s="13">
        <f t="shared" si="19"/>
        <v>7</v>
      </c>
      <c r="I185" s="13">
        <f t="shared" si="20"/>
        <v>28</v>
      </c>
      <c r="J185" s="14" t="str">
        <f t="shared" si="21"/>
        <v>July</v>
      </c>
      <c r="K185" s="13" t="str">
        <f t="shared" si="22"/>
        <v>Monday</v>
      </c>
      <c r="L185" s="15">
        <f t="shared" si="23"/>
        <v>44751</v>
      </c>
    </row>
    <row r="186" spans="1:12">
      <c r="A186" s="11" t="s">
        <v>391</v>
      </c>
      <c r="B186" s="11" t="s">
        <v>202</v>
      </c>
      <c r="C186" s="11" t="s">
        <v>30</v>
      </c>
      <c r="D186" s="12">
        <v>44558</v>
      </c>
      <c r="E186" s="13">
        <f t="shared" si="16"/>
        <v>2021</v>
      </c>
      <c r="F186" s="13">
        <f t="shared" si="17"/>
        <v>28</v>
      </c>
      <c r="G186" s="13">
        <f t="shared" si="18"/>
        <v>12</v>
      </c>
      <c r="H186" s="13">
        <f t="shared" si="19"/>
        <v>3</v>
      </c>
      <c r="I186" s="13">
        <f t="shared" si="20"/>
        <v>53</v>
      </c>
      <c r="J186" s="14" t="str">
        <f t="shared" si="21"/>
        <v>December</v>
      </c>
      <c r="K186" s="13" t="str">
        <f t="shared" si="22"/>
        <v>Saturday</v>
      </c>
      <c r="L186" s="15">
        <f t="shared" si="23"/>
        <v>44558</v>
      </c>
    </row>
    <row r="187" spans="1:12">
      <c r="A187" s="11" t="s">
        <v>392</v>
      </c>
      <c r="B187" s="11" t="s">
        <v>204</v>
      </c>
      <c r="C187" s="11" t="s">
        <v>30</v>
      </c>
      <c r="D187" s="12">
        <v>44957</v>
      </c>
      <c r="E187" s="13">
        <f t="shared" si="16"/>
        <v>2023</v>
      </c>
      <c r="F187" s="13">
        <f t="shared" si="17"/>
        <v>31</v>
      </c>
      <c r="G187" s="13">
        <f t="shared" si="18"/>
        <v>1</v>
      </c>
      <c r="H187" s="13">
        <f t="shared" si="19"/>
        <v>3</v>
      </c>
      <c r="I187" s="13">
        <f t="shared" si="20"/>
        <v>5</v>
      </c>
      <c r="J187" s="14" t="str">
        <f t="shared" si="21"/>
        <v>January</v>
      </c>
      <c r="K187" s="13" t="str">
        <f t="shared" si="22"/>
        <v>Tuesday</v>
      </c>
      <c r="L187" s="15">
        <f t="shared" si="23"/>
        <v>44957</v>
      </c>
    </row>
    <row r="188" spans="1:12">
      <c r="A188" s="11" t="s">
        <v>393</v>
      </c>
      <c r="B188" s="11" t="s">
        <v>206</v>
      </c>
      <c r="C188" s="11" t="s">
        <v>30</v>
      </c>
      <c r="D188" s="12">
        <v>44732</v>
      </c>
      <c r="E188" s="13">
        <f t="shared" si="16"/>
        <v>2022</v>
      </c>
      <c r="F188" s="13">
        <f t="shared" si="17"/>
        <v>20</v>
      </c>
      <c r="G188" s="13">
        <f t="shared" si="18"/>
        <v>6</v>
      </c>
      <c r="H188" s="13">
        <f t="shared" si="19"/>
        <v>2</v>
      </c>
      <c r="I188" s="13">
        <f t="shared" si="20"/>
        <v>26</v>
      </c>
      <c r="J188" s="14" t="str">
        <f t="shared" si="21"/>
        <v>June</v>
      </c>
      <c r="K188" s="13" t="str">
        <f t="shared" si="22"/>
        <v>Friday</v>
      </c>
      <c r="L188" s="15">
        <f t="shared" si="23"/>
        <v>44732</v>
      </c>
    </row>
    <row r="189" spans="1:12">
      <c r="A189" s="11" t="s">
        <v>394</v>
      </c>
      <c r="B189" s="11" t="s">
        <v>208</v>
      </c>
      <c r="C189" s="11" t="s">
        <v>30</v>
      </c>
      <c r="D189" s="12">
        <v>44325</v>
      </c>
      <c r="E189" s="13">
        <f t="shared" si="16"/>
        <v>2021</v>
      </c>
      <c r="F189" s="13">
        <f t="shared" si="17"/>
        <v>9</v>
      </c>
      <c r="G189" s="13">
        <f t="shared" si="18"/>
        <v>5</v>
      </c>
      <c r="H189" s="13">
        <f t="shared" si="19"/>
        <v>1</v>
      </c>
      <c r="I189" s="13">
        <f t="shared" si="20"/>
        <v>20</v>
      </c>
      <c r="J189" s="14" t="str">
        <f t="shared" si="21"/>
        <v>May</v>
      </c>
      <c r="K189" s="13" t="str">
        <f t="shared" si="22"/>
        <v>Monday</v>
      </c>
      <c r="L189" s="15">
        <f t="shared" si="23"/>
        <v>44325</v>
      </c>
    </row>
    <row r="190" spans="1:12">
      <c r="A190" s="11" t="s">
        <v>395</v>
      </c>
      <c r="B190" s="11" t="s">
        <v>210</v>
      </c>
      <c r="C190" s="11" t="s">
        <v>30</v>
      </c>
      <c r="D190" s="12">
        <v>44482</v>
      </c>
      <c r="E190" s="13">
        <f t="shared" si="16"/>
        <v>2021</v>
      </c>
      <c r="F190" s="13">
        <f t="shared" si="17"/>
        <v>13</v>
      </c>
      <c r="G190" s="13">
        <f t="shared" si="18"/>
        <v>10</v>
      </c>
      <c r="H190" s="13">
        <f t="shared" si="19"/>
        <v>4</v>
      </c>
      <c r="I190" s="13">
        <f t="shared" si="20"/>
        <v>42</v>
      </c>
      <c r="J190" s="14" t="str">
        <f t="shared" si="21"/>
        <v>October</v>
      </c>
      <c r="K190" s="13" t="str">
        <f t="shared" si="22"/>
        <v>Friday</v>
      </c>
      <c r="L190" s="15">
        <f t="shared" si="23"/>
        <v>44482</v>
      </c>
    </row>
    <row r="191" spans="1:12">
      <c r="A191" s="11" t="s">
        <v>396</v>
      </c>
      <c r="B191" s="11" t="s">
        <v>212</v>
      </c>
      <c r="C191" s="11" t="s">
        <v>30</v>
      </c>
      <c r="D191" s="12">
        <v>44580</v>
      </c>
      <c r="E191" s="13">
        <f t="shared" si="16"/>
        <v>2022</v>
      </c>
      <c r="F191" s="13">
        <f t="shared" si="17"/>
        <v>19</v>
      </c>
      <c r="G191" s="13">
        <f t="shared" si="18"/>
        <v>1</v>
      </c>
      <c r="H191" s="13">
        <f t="shared" si="19"/>
        <v>4</v>
      </c>
      <c r="I191" s="13">
        <f t="shared" si="20"/>
        <v>4</v>
      </c>
      <c r="J191" s="14" t="str">
        <f t="shared" si="21"/>
        <v>January</v>
      </c>
      <c r="K191" s="13" t="str">
        <f t="shared" si="22"/>
        <v>Thursday</v>
      </c>
      <c r="L191" s="15">
        <f t="shared" si="23"/>
        <v>44580</v>
      </c>
    </row>
    <row r="192" spans="1:12">
      <c r="A192" s="11" t="s">
        <v>397</v>
      </c>
      <c r="B192" s="11" t="s">
        <v>214</v>
      </c>
      <c r="C192" s="11" t="s">
        <v>30</v>
      </c>
      <c r="D192" s="12">
        <v>44624</v>
      </c>
      <c r="E192" s="13">
        <f t="shared" si="16"/>
        <v>2022</v>
      </c>
      <c r="F192" s="13">
        <f t="shared" si="17"/>
        <v>4</v>
      </c>
      <c r="G192" s="13">
        <f t="shared" si="18"/>
        <v>3</v>
      </c>
      <c r="H192" s="13">
        <f t="shared" si="19"/>
        <v>6</v>
      </c>
      <c r="I192" s="13">
        <f t="shared" si="20"/>
        <v>10</v>
      </c>
      <c r="J192" s="14" t="str">
        <f t="shared" si="21"/>
        <v>March</v>
      </c>
      <c r="K192" s="13" t="str">
        <f t="shared" si="22"/>
        <v>Wednesday</v>
      </c>
      <c r="L192" s="15">
        <f t="shared" si="23"/>
        <v>44624</v>
      </c>
    </row>
    <row r="193" spans="1:12">
      <c r="A193" s="11" t="s">
        <v>398</v>
      </c>
      <c r="B193" s="11" t="s">
        <v>216</v>
      </c>
      <c r="C193" s="11" t="s">
        <v>58</v>
      </c>
      <c r="D193" s="12">
        <v>44913</v>
      </c>
      <c r="E193" s="13">
        <f t="shared" si="16"/>
        <v>2022</v>
      </c>
      <c r="F193" s="13">
        <f t="shared" si="17"/>
        <v>18</v>
      </c>
      <c r="G193" s="13">
        <f t="shared" si="18"/>
        <v>12</v>
      </c>
      <c r="H193" s="13">
        <f t="shared" si="19"/>
        <v>1</v>
      </c>
      <c r="I193" s="13">
        <f t="shared" si="20"/>
        <v>52</v>
      </c>
      <c r="J193" s="14" t="str">
        <f t="shared" si="21"/>
        <v>December</v>
      </c>
      <c r="K193" s="13" t="str">
        <f t="shared" si="22"/>
        <v>Wednesday</v>
      </c>
      <c r="L193" s="15">
        <f t="shared" si="23"/>
        <v>44913</v>
      </c>
    </row>
    <row r="194" spans="1:12">
      <c r="A194" s="11" t="s">
        <v>399</v>
      </c>
      <c r="B194" s="11" t="s">
        <v>218</v>
      </c>
      <c r="C194" s="11" t="s">
        <v>130</v>
      </c>
      <c r="D194" s="12">
        <v>44584</v>
      </c>
      <c r="E194" s="13">
        <f t="shared" si="16"/>
        <v>2022</v>
      </c>
      <c r="F194" s="13">
        <f t="shared" si="17"/>
        <v>23</v>
      </c>
      <c r="G194" s="13">
        <f t="shared" si="18"/>
        <v>1</v>
      </c>
      <c r="H194" s="13">
        <f t="shared" si="19"/>
        <v>1</v>
      </c>
      <c r="I194" s="13">
        <f t="shared" si="20"/>
        <v>5</v>
      </c>
      <c r="J194" s="14" t="str">
        <f t="shared" si="21"/>
        <v>January</v>
      </c>
      <c r="K194" s="13" t="str">
        <f t="shared" si="22"/>
        <v>Monday</v>
      </c>
      <c r="L194" s="15">
        <f t="shared" si="23"/>
        <v>44584</v>
      </c>
    </row>
    <row r="195" spans="1:12">
      <c r="A195" s="11" t="s">
        <v>400</v>
      </c>
      <c r="B195" s="11" t="s">
        <v>220</v>
      </c>
      <c r="C195" s="11" t="s">
        <v>130</v>
      </c>
      <c r="D195" s="12">
        <v>44524</v>
      </c>
      <c r="E195" s="13">
        <f t="shared" ref="E195:E213" si="24">YEAR(D195)</f>
        <v>2021</v>
      </c>
      <c r="F195" s="13">
        <f t="shared" ref="F195:F213" si="25">DAY(D195)</f>
        <v>24</v>
      </c>
      <c r="G195" s="13">
        <f t="shared" ref="G195:G213" si="26">MONTH(D195)</f>
        <v>11</v>
      </c>
      <c r="H195" s="13">
        <f t="shared" ref="H195:H213" si="27">WEEKDAY(D195)</f>
        <v>4</v>
      </c>
      <c r="I195" s="13">
        <f t="shared" ref="I195:I213" si="28">WEEKNUM(D195)</f>
        <v>48</v>
      </c>
      <c r="J195" s="14" t="str">
        <f t="shared" ref="J195:J213" si="29">TEXT(D195,"mmmm")</f>
        <v>November</v>
      </c>
      <c r="K195" s="13" t="str">
        <f t="shared" ref="K195:K213" si="30">TEXT(DAY(D195),"dddd")</f>
        <v>Tuesday</v>
      </c>
      <c r="L195" s="15">
        <f t="shared" ref="L195:L213" si="31">DATE(E195,G195,F195)</f>
        <v>44524</v>
      </c>
    </row>
    <row r="196" spans="1:12">
      <c r="A196" s="11" t="s">
        <v>401</v>
      </c>
      <c r="B196" s="11" t="s">
        <v>222</v>
      </c>
      <c r="C196" s="11" t="s">
        <v>130</v>
      </c>
      <c r="D196" s="12">
        <v>44371</v>
      </c>
      <c r="E196" s="13">
        <f t="shared" si="24"/>
        <v>2021</v>
      </c>
      <c r="F196" s="13">
        <f t="shared" si="25"/>
        <v>24</v>
      </c>
      <c r="G196" s="13">
        <f t="shared" si="26"/>
        <v>6</v>
      </c>
      <c r="H196" s="13">
        <f t="shared" si="27"/>
        <v>5</v>
      </c>
      <c r="I196" s="13">
        <f t="shared" si="28"/>
        <v>26</v>
      </c>
      <c r="J196" s="14" t="str">
        <f t="shared" si="29"/>
        <v>June</v>
      </c>
      <c r="K196" s="13" t="str">
        <f t="shared" si="30"/>
        <v>Tuesday</v>
      </c>
      <c r="L196" s="15">
        <f t="shared" si="31"/>
        <v>44371</v>
      </c>
    </row>
    <row r="197" spans="1:12">
      <c r="A197" s="11" t="s">
        <v>402</v>
      </c>
      <c r="B197" s="11" t="s">
        <v>224</v>
      </c>
      <c r="C197" s="11" t="s">
        <v>130</v>
      </c>
      <c r="D197" s="12">
        <v>45006</v>
      </c>
      <c r="E197" s="13">
        <f t="shared" si="24"/>
        <v>2023</v>
      </c>
      <c r="F197" s="13">
        <f t="shared" si="25"/>
        <v>21</v>
      </c>
      <c r="G197" s="13">
        <f t="shared" si="26"/>
        <v>3</v>
      </c>
      <c r="H197" s="13">
        <f t="shared" si="27"/>
        <v>3</v>
      </c>
      <c r="I197" s="13">
        <f t="shared" si="28"/>
        <v>12</v>
      </c>
      <c r="J197" s="14" t="str">
        <f t="shared" si="29"/>
        <v>March</v>
      </c>
      <c r="K197" s="13" t="str">
        <f t="shared" si="30"/>
        <v>Saturday</v>
      </c>
      <c r="L197" s="15">
        <f t="shared" si="31"/>
        <v>45006</v>
      </c>
    </row>
    <row r="198" spans="1:12">
      <c r="A198" s="11" t="s">
        <v>403</v>
      </c>
      <c r="B198" s="11" t="s">
        <v>226</v>
      </c>
      <c r="C198" s="11" t="s">
        <v>65</v>
      </c>
      <c r="D198" s="12">
        <v>44995</v>
      </c>
      <c r="E198" s="13">
        <f t="shared" si="24"/>
        <v>2023</v>
      </c>
      <c r="F198" s="13">
        <f t="shared" si="25"/>
        <v>10</v>
      </c>
      <c r="G198" s="13">
        <f t="shared" si="26"/>
        <v>3</v>
      </c>
      <c r="H198" s="13">
        <f t="shared" si="27"/>
        <v>6</v>
      </c>
      <c r="I198" s="13">
        <f t="shared" si="28"/>
        <v>10</v>
      </c>
      <c r="J198" s="14" t="str">
        <f t="shared" si="29"/>
        <v>March</v>
      </c>
      <c r="K198" s="13" t="str">
        <f t="shared" si="30"/>
        <v>Tuesday</v>
      </c>
      <c r="L198" s="15">
        <f t="shared" si="31"/>
        <v>44995</v>
      </c>
    </row>
    <row r="199" spans="1:12">
      <c r="A199" s="11" t="s">
        <v>404</v>
      </c>
      <c r="B199" s="11" t="s">
        <v>228</v>
      </c>
      <c r="C199" s="11" t="s">
        <v>65</v>
      </c>
      <c r="D199" s="12">
        <v>44864</v>
      </c>
      <c r="E199" s="13">
        <f t="shared" si="24"/>
        <v>2022</v>
      </c>
      <c r="F199" s="13">
        <f t="shared" si="25"/>
        <v>30</v>
      </c>
      <c r="G199" s="13">
        <f t="shared" si="26"/>
        <v>10</v>
      </c>
      <c r="H199" s="13">
        <f t="shared" si="27"/>
        <v>1</v>
      </c>
      <c r="I199" s="13">
        <f t="shared" si="28"/>
        <v>45</v>
      </c>
      <c r="J199" s="14" t="str">
        <f t="shared" si="29"/>
        <v>October</v>
      </c>
      <c r="K199" s="13" t="str">
        <f t="shared" si="30"/>
        <v>Monday</v>
      </c>
      <c r="L199" s="15">
        <f t="shared" si="31"/>
        <v>44864</v>
      </c>
    </row>
    <row r="200" spans="1:12">
      <c r="A200" s="11" t="s">
        <v>405</v>
      </c>
      <c r="B200" s="11" t="s">
        <v>230</v>
      </c>
      <c r="C200" s="11" t="s">
        <v>65</v>
      </c>
      <c r="D200" s="12">
        <v>44723</v>
      </c>
      <c r="E200" s="13">
        <f t="shared" si="24"/>
        <v>2022</v>
      </c>
      <c r="F200" s="13">
        <f t="shared" si="25"/>
        <v>11</v>
      </c>
      <c r="G200" s="13">
        <f t="shared" si="26"/>
        <v>6</v>
      </c>
      <c r="H200" s="13">
        <f t="shared" si="27"/>
        <v>7</v>
      </c>
      <c r="I200" s="13">
        <f t="shared" si="28"/>
        <v>24</v>
      </c>
      <c r="J200" s="14" t="str">
        <f t="shared" si="29"/>
        <v>June</v>
      </c>
      <c r="K200" s="13" t="str">
        <f t="shared" si="30"/>
        <v>Wednesday</v>
      </c>
      <c r="L200" s="15">
        <f t="shared" si="31"/>
        <v>44723</v>
      </c>
    </row>
    <row r="201" spans="1:12">
      <c r="A201" s="11" t="s">
        <v>406</v>
      </c>
      <c r="B201" s="11" t="s">
        <v>232</v>
      </c>
      <c r="C201" s="11" t="s">
        <v>58</v>
      </c>
      <c r="D201" s="12">
        <v>44380</v>
      </c>
      <c r="E201" s="13">
        <f t="shared" si="24"/>
        <v>2021</v>
      </c>
      <c r="F201" s="13">
        <f t="shared" si="25"/>
        <v>3</v>
      </c>
      <c r="G201" s="13">
        <f t="shared" si="26"/>
        <v>7</v>
      </c>
      <c r="H201" s="13">
        <f t="shared" si="27"/>
        <v>7</v>
      </c>
      <c r="I201" s="13">
        <f t="shared" si="28"/>
        <v>27</v>
      </c>
      <c r="J201" s="14" t="str">
        <f t="shared" si="29"/>
        <v>July</v>
      </c>
      <c r="K201" s="13" t="str">
        <f t="shared" si="30"/>
        <v>Tuesday</v>
      </c>
      <c r="L201" s="15">
        <f t="shared" si="31"/>
        <v>44380</v>
      </c>
    </row>
    <row r="202" spans="1:12">
      <c r="A202" s="11" t="s">
        <v>407</v>
      </c>
      <c r="B202" s="11" t="s">
        <v>234</v>
      </c>
      <c r="C202" s="11" t="s">
        <v>58</v>
      </c>
      <c r="D202" s="12">
        <v>44702</v>
      </c>
      <c r="E202" s="13">
        <f t="shared" si="24"/>
        <v>2022</v>
      </c>
      <c r="F202" s="13">
        <f t="shared" si="25"/>
        <v>21</v>
      </c>
      <c r="G202" s="13">
        <f t="shared" si="26"/>
        <v>5</v>
      </c>
      <c r="H202" s="13">
        <f t="shared" si="27"/>
        <v>7</v>
      </c>
      <c r="I202" s="13">
        <f t="shared" si="28"/>
        <v>21</v>
      </c>
      <c r="J202" s="14" t="str">
        <f t="shared" si="29"/>
        <v>May</v>
      </c>
      <c r="K202" s="13" t="str">
        <f t="shared" si="30"/>
        <v>Saturday</v>
      </c>
      <c r="L202" s="15">
        <f t="shared" si="31"/>
        <v>44702</v>
      </c>
    </row>
    <row r="203" spans="1:12">
      <c r="A203" s="11" t="s">
        <v>408</v>
      </c>
      <c r="B203" s="11" t="s">
        <v>236</v>
      </c>
      <c r="C203" s="11" t="s">
        <v>58</v>
      </c>
      <c r="D203" s="12">
        <v>44703</v>
      </c>
      <c r="E203" s="13">
        <f t="shared" si="24"/>
        <v>2022</v>
      </c>
      <c r="F203" s="13">
        <f t="shared" si="25"/>
        <v>22</v>
      </c>
      <c r="G203" s="13">
        <f t="shared" si="26"/>
        <v>5</v>
      </c>
      <c r="H203" s="13">
        <f t="shared" si="27"/>
        <v>1</v>
      </c>
      <c r="I203" s="13">
        <f t="shared" si="28"/>
        <v>22</v>
      </c>
      <c r="J203" s="14" t="str">
        <f t="shared" si="29"/>
        <v>May</v>
      </c>
      <c r="K203" s="13" t="str">
        <f t="shared" si="30"/>
        <v>Sunday</v>
      </c>
      <c r="L203" s="15">
        <f t="shared" si="31"/>
        <v>44703</v>
      </c>
    </row>
    <row r="204" spans="1:12">
      <c r="A204" s="11" t="s">
        <v>409</v>
      </c>
      <c r="B204" s="11" t="s">
        <v>238</v>
      </c>
      <c r="C204" s="11" t="s">
        <v>30</v>
      </c>
      <c r="D204" s="12">
        <v>44560</v>
      </c>
      <c r="E204" s="13">
        <f t="shared" si="24"/>
        <v>2021</v>
      </c>
      <c r="F204" s="13">
        <f t="shared" si="25"/>
        <v>30</v>
      </c>
      <c r="G204" s="13">
        <f t="shared" si="26"/>
        <v>12</v>
      </c>
      <c r="H204" s="13">
        <f t="shared" si="27"/>
        <v>5</v>
      </c>
      <c r="I204" s="13">
        <f t="shared" si="28"/>
        <v>53</v>
      </c>
      <c r="J204" s="14" t="str">
        <f t="shared" si="29"/>
        <v>December</v>
      </c>
      <c r="K204" s="13" t="str">
        <f t="shared" si="30"/>
        <v>Monday</v>
      </c>
      <c r="L204" s="15">
        <f t="shared" si="31"/>
        <v>44560</v>
      </c>
    </row>
    <row r="205" spans="1:12">
      <c r="A205" s="11" t="s">
        <v>410</v>
      </c>
      <c r="B205" s="11" t="s">
        <v>240</v>
      </c>
      <c r="C205" s="11" t="s">
        <v>30</v>
      </c>
      <c r="D205" s="12">
        <v>44737</v>
      </c>
      <c r="E205" s="13">
        <f t="shared" si="24"/>
        <v>2022</v>
      </c>
      <c r="F205" s="13">
        <f t="shared" si="25"/>
        <v>25</v>
      </c>
      <c r="G205" s="13">
        <f t="shared" si="26"/>
        <v>6</v>
      </c>
      <c r="H205" s="13">
        <f t="shared" si="27"/>
        <v>7</v>
      </c>
      <c r="I205" s="13">
        <f t="shared" si="28"/>
        <v>26</v>
      </c>
      <c r="J205" s="14" t="str">
        <f t="shared" si="29"/>
        <v>June</v>
      </c>
      <c r="K205" s="13" t="str">
        <f t="shared" si="30"/>
        <v>Wednesday</v>
      </c>
      <c r="L205" s="15">
        <f t="shared" si="31"/>
        <v>44737</v>
      </c>
    </row>
    <row r="206" spans="1:12">
      <c r="A206" s="11" t="s">
        <v>411</v>
      </c>
      <c r="B206" s="11" t="s">
        <v>242</v>
      </c>
      <c r="C206" s="11" t="s">
        <v>30</v>
      </c>
      <c r="D206" s="12">
        <v>44891</v>
      </c>
      <c r="E206" s="13">
        <f t="shared" si="24"/>
        <v>2022</v>
      </c>
      <c r="F206" s="13">
        <f t="shared" si="25"/>
        <v>26</v>
      </c>
      <c r="G206" s="13">
        <f t="shared" si="26"/>
        <v>11</v>
      </c>
      <c r="H206" s="13">
        <f t="shared" si="27"/>
        <v>7</v>
      </c>
      <c r="I206" s="13">
        <f t="shared" si="28"/>
        <v>48</v>
      </c>
      <c r="J206" s="14" t="str">
        <f t="shared" si="29"/>
        <v>November</v>
      </c>
      <c r="K206" s="13" t="str">
        <f t="shared" si="30"/>
        <v>Thursday</v>
      </c>
      <c r="L206" s="15">
        <f t="shared" si="31"/>
        <v>44891</v>
      </c>
    </row>
    <row r="207" spans="1:12">
      <c r="A207" s="11" t="s">
        <v>412</v>
      </c>
      <c r="B207" s="11" t="s">
        <v>244</v>
      </c>
      <c r="C207" s="11" t="s">
        <v>30</v>
      </c>
      <c r="D207" s="12">
        <v>44513</v>
      </c>
      <c r="E207" s="13">
        <f t="shared" si="24"/>
        <v>2021</v>
      </c>
      <c r="F207" s="13">
        <f t="shared" si="25"/>
        <v>13</v>
      </c>
      <c r="G207" s="13">
        <f t="shared" si="26"/>
        <v>11</v>
      </c>
      <c r="H207" s="13">
        <f t="shared" si="27"/>
        <v>7</v>
      </c>
      <c r="I207" s="13">
        <f t="shared" si="28"/>
        <v>46</v>
      </c>
      <c r="J207" s="14" t="str">
        <f t="shared" si="29"/>
        <v>November</v>
      </c>
      <c r="K207" s="13" t="str">
        <f t="shared" si="30"/>
        <v>Friday</v>
      </c>
      <c r="L207" s="15">
        <f t="shared" si="31"/>
        <v>44513</v>
      </c>
    </row>
    <row r="208" spans="1:12">
      <c r="A208" s="11" t="s">
        <v>413</v>
      </c>
      <c r="B208" s="11" t="s">
        <v>246</v>
      </c>
      <c r="C208" s="11" t="s">
        <v>30</v>
      </c>
      <c r="D208" s="12">
        <v>44679</v>
      </c>
      <c r="E208" s="13">
        <f t="shared" si="24"/>
        <v>2022</v>
      </c>
      <c r="F208" s="13">
        <f t="shared" si="25"/>
        <v>28</v>
      </c>
      <c r="G208" s="13">
        <f t="shared" si="26"/>
        <v>4</v>
      </c>
      <c r="H208" s="13">
        <f t="shared" si="27"/>
        <v>5</v>
      </c>
      <c r="I208" s="13">
        <f t="shared" si="28"/>
        <v>18</v>
      </c>
      <c r="J208" s="14" t="str">
        <f t="shared" si="29"/>
        <v>April</v>
      </c>
      <c r="K208" s="13" t="str">
        <f t="shared" si="30"/>
        <v>Saturday</v>
      </c>
      <c r="L208" s="15">
        <f t="shared" si="31"/>
        <v>44679</v>
      </c>
    </row>
    <row r="209" spans="1:12">
      <c r="A209" s="11" t="s">
        <v>414</v>
      </c>
      <c r="B209" s="11" t="s">
        <v>248</v>
      </c>
      <c r="C209" s="11" t="s">
        <v>30</v>
      </c>
      <c r="D209" s="12">
        <v>44675</v>
      </c>
      <c r="E209" s="13">
        <f t="shared" si="24"/>
        <v>2022</v>
      </c>
      <c r="F209" s="13">
        <f t="shared" si="25"/>
        <v>24</v>
      </c>
      <c r="G209" s="13">
        <f t="shared" si="26"/>
        <v>4</v>
      </c>
      <c r="H209" s="13">
        <f t="shared" si="27"/>
        <v>1</v>
      </c>
      <c r="I209" s="13">
        <f t="shared" si="28"/>
        <v>18</v>
      </c>
      <c r="J209" s="14" t="str">
        <f t="shared" si="29"/>
        <v>April</v>
      </c>
      <c r="K209" s="13" t="str">
        <f t="shared" si="30"/>
        <v>Tuesday</v>
      </c>
      <c r="L209" s="15">
        <f t="shared" si="31"/>
        <v>44675</v>
      </c>
    </row>
    <row r="210" spans="1:12">
      <c r="A210" s="11" t="s">
        <v>415</v>
      </c>
      <c r="B210" s="11" t="s">
        <v>250</v>
      </c>
      <c r="C210" s="11" t="s">
        <v>30</v>
      </c>
      <c r="D210" s="12">
        <v>44568</v>
      </c>
      <c r="E210" s="13">
        <f t="shared" si="24"/>
        <v>2022</v>
      </c>
      <c r="F210" s="13">
        <f t="shared" si="25"/>
        <v>7</v>
      </c>
      <c r="G210" s="13">
        <f t="shared" si="26"/>
        <v>1</v>
      </c>
      <c r="H210" s="13">
        <f t="shared" si="27"/>
        <v>6</v>
      </c>
      <c r="I210" s="13">
        <f t="shared" si="28"/>
        <v>2</v>
      </c>
      <c r="J210" s="14" t="str">
        <f t="shared" si="29"/>
        <v>January</v>
      </c>
      <c r="K210" s="13" t="str">
        <f t="shared" si="30"/>
        <v>Saturday</v>
      </c>
      <c r="L210" s="15">
        <f t="shared" si="31"/>
        <v>44568</v>
      </c>
    </row>
    <row r="211" spans="1:12">
      <c r="A211" s="11" t="s">
        <v>416</v>
      </c>
      <c r="B211" s="11" t="s">
        <v>252</v>
      </c>
      <c r="C211" s="11" t="s">
        <v>30</v>
      </c>
      <c r="D211" s="12">
        <v>44998</v>
      </c>
      <c r="E211" s="13">
        <f t="shared" si="24"/>
        <v>2023</v>
      </c>
      <c r="F211" s="13">
        <f t="shared" si="25"/>
        <v>13</v>
      </c>
      <c r="G211" s="13">
        <f t="shared" si="26"/>
        <v>3</v>
      </c>
      <c r="H211" s="13">
        <f t="shared" si="27"/>
        <v>2</v>
      </c>
      <c r="I211" s="13">
        <f t="shared" si="28"/>
        <v>11</v>
      </c>
      <c r="J211" s="14" t="str">
        <f t="shared" si="29"/>
        <v>March</v>
      </c>
      <c r="K211" s="13" t="str">
        <f t="shared" si="30"/>
        <v>Friday</v>
      </c>
      <c r="L211" s="15">
        <f t="shared" si="31"/>
        <v>44998</v>
      </c>
    </row>
    <row r="212" spans="1:12">
      <c r="A212" s="11" t="s">
        <v>417</v>
      </c>
      <c r="B212" s="11" t="s">
        <v>254</v>
      </c>
      <c r="C212" s="11" t="s">
        <v>30</v>
      </c>
      <c r="D212" s="12">
        <v>44832</v>
      </c>
      <c r="E212" s="13">
        <f t="shared" si="24"/>
        <v>2022</v>
      </c>
      <c r="F212" s="13">
        <f t="shared" si="25"/>
        <v>28</v>
      </c>
      <c r="G212" s="13">
        <f t="shared" si="26"/>
        <v>9</v>
      </c>
      <c r="H212" s="13">
        <f t="shared" si="27"/>
        <v>4</v>
      </c>
      <c r="I212" s="13">
        <f t="shared" si="28"/>
        <v>40</v>
      </c>
      <c r="J212" s="14" t="str">
        <f t="shared" si="29"/>
        <v>September</v>
      </c>
      <c r="K212" s="13" t="str">
        <f t="shared" si="30"/>
        <v>Saturday</v>
      </c>
      <c r="L212" s="15">
        <f t="shared" si="31"/>
        <v>44832</v>
      </c>
    </row>
    <row r="213" spans="1:12">
      <c r="A213" s="11" t="s">
        <v>418</v>
      </c>
      <c r="B213" s="11" t="s">
        <v>256</v>
      </c>
      <c r="C213" s="11" t="s">
        <v>30</v>
      </c>
      <c r="D213" s="12">
        <v>44365</v>
      </c>
      <c r="E213" s="13">
        <f t="shared" si="24"/>
        <v>2021</v>
      </c>
      <c r="F213" s="13">
        <f t="shared" si="25"/>
        <v>18</v>
      </c>
      <c r="G213" s="13">
        <f t="shared" si="26"/>
        <v>6</v>
      </c>
      <c r="H213" s="13">
        <f t="shared" si="27"/>
        <v>6</v>
      </c>
      <c r="I213" s="13">
        <f t="shared" si="28"/>
        <v>25</v>
      </c>
      <c r="J213" s="14" t="str">
        <f t="shared" si="29"/>
        <v>June</v>
      </c>
      <c r="K213" s="13" t="str">
        <f t="shared" si="30"/>
        <v>Wednesday</v>
      </c>
      <c r="L213" s="15">
        <f t="shared" si="31"/>
        <v>44365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AFA9-8B36-45FF-9AE1-44FCC28F7B0F}">
  <dimension ref="A1:L33"/>
  <sheetViews>
    <sheetView showGridLines="0" workbookViewId="0">
      <selection activeCell="F17" sqref="F17"/>
    </sheetView>
  </sheetViews>
  <sheetFormatPr defaultRowHeight="14.4"/>
  <cols>
    <col min="1" max="1" width="11.44140625" bestFit="1" customWidth="1"/>
    <col min="2" max="2" width="26" bestFit="1" customWidth="1"/>
    <col min="3" max="3" width="13.21875" bestFit="1" customWidth="1"/>
    <col min="4" max="4" width="17" bestFit="1" customWidth="1"/>
    <col min="5" max="5" width="9.109375" bestFit="1" customWidth="1"/>
    <col min="6" max="6" width="15.6640625" bestFit="1" customWidth="1"/>
    <col min="7" max="7" width="9.109375" bestFit="1" customWidth="1"/>
    <col min="11" max="12" width="10.33203125" bestFit="1" customWidth="1"/>
  </cols>
  <sheetData>
    <row r="1" spans="2:12" s="7" customFormat="1" ht="15.6">
      <c r="C1" s="4" t="s">
        <v>3</v>
      </c>
      <c r="D1" s="5">
        <v>45292</v>
      </c>
    </row>
    <row r="2" spans="2:12" s="7" customFormat="1" ht="15.6">
      <c r="C2" s="4" t="s">
        <v>4</v>
      </c>
      <c r="D2" s="5">
        <f ca="1">TODAY()</f>
        <v>45990</v>
      </c>
    </row>
    <row r="3" spans="2:12" s="7" customFormat="1" ht="15.6">
      <c r="C3" s="4" t="s">
        <v>5</v>
      </c>
      <c r="D3" s="6">
        <f ca="1">NOW()</f>
        <v>45990.661942245373</v>
      </c>
    </row>
    <row r="4" spans="2:12" s="7" customFormat="1" ht="15.6"/>
    <row r="5" spans="2:12" s="7" customFormat="1" ht="15.6"/>
    <row r="6" spans="2:12" s="7" customFormat="1" ht="15.6">
      <c r="B6" s="3" t="s">
        <v>6</v>
      </c>
      <c r="C6" s="3" t="s">
        <v>7</v>
      </c>
      <c r="D6" s="3" t="s">
        <v>8</v>
      </c>
      <c r="E6" s="3" t="s">
        <v>9</v>
      </c>
      <c r="F6" s="3" t="s">
        <v>17</v>
      </c>
      <c r="G6" s="3" t="s">
        <v>18</v>
      </c>
    </row>
    <row r="7" spans="2:12" s="7" customFormat="1" ht="15.6">
      <c r="B7" s="2">
        <f ca="1">YEAR(D3)</f>
        <v>2025</v>
      </c>
      <c r="C7" s="2">
        <f ca="1">MONTH(D3)</f>
        <v>11</v>
      </c>
      <c r="D7" s="2">
        <f ca="1">DAY(D3)</f>
        <v>29</v>
      </c>
      <c r="E7" s="2">
        <f ca="1">HOUR(D3)</f>
        <v>15</v>
      </c>
      <c r="F7" s="2">
        <f ca="1">MINUTE(D3)</f>
        <v>53</v>
      </c>
      <c r="G7" s="2">
        <f ca="1">SECOND(D3)</f>
        <v>12</v>
      </c>
    </row>
    <row r="8" spans="2:12" s="7" customFormat="1" ht="15.6"/>
    <row r="9" spans="2:12" s="7" customFormat="1" ht="15.6">
      <c r="L9" s="8"/>
    </row>
    <row r="10" spans="2:12" s="7" customFormat="1" ht="15.6">
      <c r="B10" s="10" t="s">
        <v>10</v>
      </c>
      <c r="C10" s="7">
        <f ca="1">WEEKDAY(D2)</f>
        <v>7</v>
      </c>
      <c r="K10" s="8"/>
      <c r="L10" s="8"/>
    </row>
    <row r="11" spans="2:12" s="7" customFormat="1" ht="15.6">
      <c r="B11" s="10"/>
      <c r="K11" s="8"/>
      <c r="L11" s="8"/>
    </row>
    <row r="12" spans="2:12" s="7" customFormat="1" ht="15.6">
      <c r="B12" s="10" t="s">
        <v>11</v>
      </c>
      <c r="C12" s="8">
        <f>WORKDAY(D1,15)</f>
        <v>45313</v>
      </c>
      <c r="K12" s="8"/>
      <c r="L12" s="8"/>
    </row>
    <row r="13" spans="2:12" s="7" customFormat="1" ht="15.6">
      <c r="B13" s="10" t="s">
        <v>12</v>
      </c>
      <c r="C13" s="7">
        <f ca="1">NETWORKDAYS(D1,D2)</f>
        <v>500</v>
      </c>
      <c r="K13" s="8"/>
      <c r="L13" s="8"/>
    </row>
    <row r="14" spans="2:12" s="7" customFormat="1" ht="15.6">
      <c r="B14" s="10"/>
      <c r="K14" s="8"/>
      <c r="L14" s="8"/>
    </row>
    <row r="15" spans="2:12" s="7" customFormat="1" ht="15.6">
      <c r="B15" s="10" t="s">
        <v>13</v>
      </c>
      <c r="C15" s="8">
        <f ca="1">EOMONTH(D2,0)</f>
        <v>45991</v>
      </c>
      <c r="K15" s="8"/>
      <c r="L15" s="8"/>
    </row>
    <row r="16" spans="2:12" s="7" customFormat="1" ht="15.6">
      <c r="B16" s="10" t="s">
        <v>14</v>
      </c>
      <c r="C16" s="8">
        <f ca="1">EOMONTH(D2,-1)+1</f>
        <v>45962</v>
      </c>
      <c r="K16" s="8"/>
      <c r="L16" s="8"/>
    </row>
    <row r="17" spans="1:12" s="7" customFormat="1" ht="15.6">
      <c r="B17" s="10" t="s">
        <v>15</v>
      </c>
      <c r="C17" s="8">
        <f ca="1">EOMONTH(D2,1)+1</f>
        <v>46023</v>
      </c>
      <c r="K17" s="8"/>
      <c r="L17" s="8"/>
    </row>
    <row r="18" spans="1:12" s="7" customFormat="1" ht="15.6">
      <c r="L18" s="8"/>
    </row>
    <row r="19" spans="1:12" s="7" customFormat="1" ht="15.6">
      <c r="L19" s="8"/>
    </row>
    <row r="20" spans="1:12" s="7" customFormat="1" ht="15.6">
      <c r="L20" s="8"/>
    </row>
    <row r="21" spans="1:12" s="7" customFormat="1" ht="15.6">
      <c r="A21" s="9" t="s">
        <v>16</v>
      </c>
      <c r="L21" s="8"/>
    </row>
    <row r="22" spans="1:12" s="7" customFormat="1" ht="15.6">
      <c r="A22" s="8">
        <v>45962</v>
      </c>
      <c r="L22" s="8"/>
    </row>
    <row r="23" spans="1:12" s="7" customFormat="1" ht="15.6">
      <c r="A23" s="8">
        <v>45963</v>
      </c>
    </row>
    <row r="24" spans="1:12" s="7" customFormat="1" ht="15.6">
      <c r="A24" s="8">
        <v>45964</v>
      </c>
    </row>
    <row r="25" spans="1:12" s="7" customFormat="1" ht="15.6">
      <c r="A25" s="8">
        <v>45965</v>
      </c>
    </row>
    <row r="26" spans="1:12" s="7" customFormat="1" ht="15.6">
      <c r="A26" s="8">
        <v>45966</v>
      </c>
    </row>
    <row r="27" spans="1:12" s="7" customFormat="1" ht="15.6">
      <c r="A27" s="8">
        <v>45967</v>
      </c>
    </row>
    <row r="28" spans="1:12" s="7" customFormat="1" ht="15.6">
      <c r="A28" s="8">
        <v>45968</v>
      </c>
    </row>
    <row r="29" spans="1:12" s="7" customFormat="1" ht="15.6">
      <c r="A29" s="8">
        <v>45969</v>
      </c>
    </row>
    <row r="30" spans="1:12" s="7" customFormat="1" ht="15.6">
      <c r="A30" s="8">
        <v>45970</v>
      </c>
    </row>
    <row r="31" spans="1:12" s="7" customFormat="1" ht="15.6">
      <c r="A31" s="8">
        <v>45971</v>
      </c>
    </row>
    <row r="32" spans="1:12">
      <c r="A32" s="1"/>
    </row>
    <row r="33" spans="1:1">
      <c r="A3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0F93-6C59-41D8-9529-BB9516AFE772}">
  <dimension ref="A1:Z1002"/>
  <sheetViews>
    <sheetView topLeftCell="A47" zoomScale="63" workbookViewId="0">
      <selection activeCell="E27" sqref="E27"/>
    </sheetView>
  </sheetViews>
  <sheetFormatPr defaultColWidth="14.44140625" defaultRowHeight="15" customHeight="1"/>
  <cols>
    <col min="1" max="1" width="14.109375" style="45" customWidth="1"/>
    <col min="2" max="2" width="17.88671875" style="45" customWidth="1"/>
    <col min="3" max="3" width="10.6640625" style="45" customWidth="1"/>
    <col min="4" max="4" width="16.5546875" style="45" customWidth="1"/>
    <col min="5" max="5" width="17.109375" style="45" customWidth="1"/>
    <col min="6" max="6" width="18.44140625" style="45" customWidth="1"/>
    <col min="7" max="7" width="14.6640625" style="45" bestFit="1" customWidth="1"/>
    <col min="8" max="8" width="17.33203125" style="45" customWidth="1"/>
    <col min="9" max="9" width="10" style="45" customWidth="1"/>
    <col min="10" max="10" width="8.6640625" style="45" customWidth="1"/>
    <col min="11" max="11" width="10.88671875" style="45" customWidth="1"/>
    <col min="12" max="12" width="8.6640625" style="45" customWidth="1"/>
    <col min="13" max="14" width="13.33203125" style="45" customWidth="1"/>
    <col min="15" max="15" width="11" style="45" customWidth="1"/>
    <col min="16" max="16" width="9.88671875" style="45" customWidth="1"/>
    <col min="17" max="17" width="8.6640625" style="45" customWidth="1"/>
    <col min="18" max="18" width="27.5546875" style="45" customWidth="1"/>
    <col min="19" max="19" width="16" style="45" customWidth="1"/>
    <col min="20" max="20" width="16.77734375" style="45" bestFit="1" customWidth="1"/>
    <col min="21" max="21" width="27.5546875" style="45" bestFit="1" customWidth="1"/>
    <col min="22" max="22" width="8.6640625" style="45" customWidth="1"/>
    <col min="23" max="23" width="16.109375" style="45" customWidth="1"/>
    <col min="24" max="24" width="9.88671875" style="45" customWidth="1"/>
    <col min="25" max="25" width="9.6640625" style="45" customWidth="1"/>
    <col min="26" max="26" width="18.6640625" style="45" bestFit="1" customWidth="1"/>
    <col min="27" max="16384" width="14.44140625" style="45"/>
  </cols>
  <sheetData>
    <row r="1" spans="1:26" s="45" customFormat="1" ht="15" customHeight="1"/>
    <row r="2" spans="1:26" s="45" customFormat="1" ht="15" customHeight="1">
      <c r="A2" s="46"/>
      <c r="B2" s="46"/>
      <c r="C2" s="46"/>
      <c r="D2" s="46"/>
      <c r="E2" s="46" t="s">
        <v>720</v>
      </c>
      <c r="F2" s="46" t="s">
        <v>721</v>
      </c>
      <c r="G2" s="46" t="s">
        <v>722</v>
      </c>
      <c r="H2" s="46" t="s">
        <v>723</v>
      </c>
      <c r="I2" s="46" t="s">
        <v>724</v>
      </c>
      <c r="J2" s="46"/>
      <c r="K2" s="46"/>
      <c r="L2" s="46" t="s">
        <v>725</v>
      </c>
      <c r="M2" s="46" t="s">
        <v>726</v>
      </c>
      <c r="N2" s="46" t="s">
        <v>727</v>
      </c>
      <c r="O2" s="46" t="s">
        <v>728</v>
      </c>
      <c r="P2" s="46" t="s">
        <v>729</v>
      </c>
      <c r="Q2" s="46"/>
      <c r="R2" s="46"/>
      <c r="S2" s="46" t="s">
        <v>730</v>
      </c>
      <c r="T2" s="46" t="s">
        <v>731</v>
      </c>
      <c r="U2" s="46" t="s">
        <v>729</v>
      </c>
      <c r="V2" s="46"/>
      <c r="W2" s="47" t="s">
        <v>732</v>
      </c>
      <c r="X2" s="47"/>
      <c r="Y2" s="47"/>
      <c r="Z2" s="47"/>
    </row>
    <row r="3" spans="1:26" s="45" customFormat="1" ht="14.4">
      <c r="A3" s="48" t="s">
        <v>19</v>
      </c>
      <c r="B3" s="49" t="s">
        <v>0</v>
      </c>
      <c r="C3" s="49" t="s">
        <v>20</v>
      </c>
      <c r="D3" s="50" t="s">
        <v>2</v>
      </c>
      <c r="E3" s="50" t="s">
        <v>631</v>
      </c>
      <c r="F3" s="49" t="s">
        <v>630</v>
      </c>
      <c r="G3" s="49" t="s">
        <v>629</v>
      </c>
      <c r="H3" s="49" t="s">
        <v>628</v>
      </c>
      <c r="I3" s="49" t="s">
        <v>627</v>
      </c>
      <c r="J3" s="51"/>
      <c r="K3" s="49" t="s">
        <v>19</v>
      </c>
      <c r="L3" s="49" t="s">
        <v>626</v>
      </c>
      <c r="M3" s="49" t="s">
        <v>625</v>
      </c>
      <c r="N3" s="49" t="s">
        <v>624</v>
      </c>
      <c r="O3" s="49" t="s">
        <v>623</v>
      </c>
      <c r="P3" s="49" t="s">
        <v>19</v>
      </c>
      <c r="R3" s="49" t="s">
        <v>622</v>
      </c>
      <c r="S3" s="49" t="s">
        <v>621</v>
      </c>
      <c r="T3" s="49" t="s">
        <v>620</v>
      </c>
      <c r="U3" s="49" t="s">
        <v>619</v>
      </c>
      <c r="V3" s="52"/>
      <c r="W3" s="49" t="s">
        <v>718</v>
      </c>
      <c r="X3" s="49" t="s">
        <v>618</v>
      </c>
      <c r="Y3" s="49" t="s">
        <v>617</v>
      </c>
      <c r="Z3" s="49" t="s">
        <v>719</v>
      </c>
    </row>
    <row r="4" spans="1:26" s="45" customFormat="1" ht="14.4">
      <c r="A4" s="53" t="s">
        <v>615</v>
      </c>
      <c r="B4" s="53" t="s">
        <v>616</v>
      </c>
      <c r="C4" s="53" t="s">
        <v>30</v>
      </c>
      <c r="D4" s="54">
        <v>44733</v>
      </c>
      <c r="E4" s="54" t="str">
        <f>TRIM(B4)</f>
        <v>ravi roy</v>
      </c>
      <c r="F4" s="53" t="str">
        <f>UPPER(E4)</f>
        <v>RAVI ROY</v>
      </c>
      <c r="G4" s="53" t="str">
        <f>LOWER(E4)</f>
        <v>ravi roy</v>
      </c>
      <c r="H4" s="53" t="str">
        <f>PROPER(E4)</f>
        <v>Ravi Roy</v>
      </c>
      <c r="I4" s="53" t="str">
        <f>SUBSTITUTE(A4,"ID","ED")</f>
        <v>ED-00001</v>
      </c>
      <c r="J4" s="51"/>
      <c r="K4" s="53" t="s">
        <v>615</v>
      </c>
      <c r="L4" s="51">
        <f>LEN(K4)</f>
        <v>8</v>
      </c>
      <c r="M4" s="55" t="str">
        <f>LEFT(K4,2)</f>
        <v>ID</v>
      </c>
      <c r="N4" s="55" t="str">
        <f>MID(K4,3,1)</f>
        <v>-</v>
      </c>
      <c r="O4" s="55" t="str">
        <f>RIGHT(K4,1)</f>
        <v>1</v>
      </c>
      <c r="P4" s="53" t="str">
        <f>_xlfn.CONCAT(M4,N4,O4)</f>
        <v>ID-1</v>
      </c>
      <c r="R4" s="51" t="s">
        <v>587</v>
      </c>
      <c r="S4" s="51" t="str">
        <f>LEFT(R4,SEARCH("@",R4)-1)</f>
        <v>raviroy</v>
      </c>
      <c r="T4" s="51" t="str">
        <f>RIGHT(R4,LEN(R4)-SEARCH("@",R4))</f>
        <v>thebiman.com</v>
      </c>
      <c r="U4" s="51" t="str">
        <f>_xlfn.CONCAT(S4,"@",T4)</f>
        <v>raviroy@thebiman.com</v>
      </c>
      <c r="V4" s="51"/>
      <c r="W4" s="53" t="s">
        <v>586</v>
      </c>
      <c r="X4" s="51" t="s">
        <v>270</v>
      </c>
      <c r="Y4" s="51" t="s">
        <v>706</v>
      </c>
      <c r="Z4" s="51" t="s">
        <v>586</v>
      </c>
    </row>
    <row r="5" spans="1:26" s="45" customFormat="1" ht="14.4">
      <c r="A5" s="53" t="s">
        <v>613</v>
      </c>
      <c r="B5" s="53" t="s">
        <v>614</v>
      </c>
      <c r="C5" s="53" t="s">
        <v>34</v>
      </c>
      <c r="D5" s="54">
        <v>44420</v>
      </c>
      <c r="E5" s="54" t="str">
        <f t="shared" ref="E5:E68" si="0">TRIM(B5)</f>
        <v>shiva verma</v>
      </c>
      <c r="F5" s="53" t="str">
        <f t="shared" ref="F5:F68" si="1">UPPER(E5)</f>
        <v>SHIVA VERMA</v>
      </c>
      <c r="G5" s="53" t="str">
        <f t="shared" ref="G5:G68" si="2">LOWER(E5)</f>
        <v>shiva verma</v>
      </c>
      <c r="H5" s="53" t="str">
        <f t="shared" ref="H5:H68" si="3">PROPER(E5)</f>
        <v>Shiva Verma</v>
      </c>
      <c r="I5" s="53" t="str">
        <f t="shared" ref="I5:I68" si="4">SUBSTITUTE(A5,"ID","ED")</f>
        <v>ED-00002</v>
      </c>
      <c r="J5" s="51"/>
      <c r="K5" s="53" t="s">
        <v>613</v>
      </c>
      <c r="L5" s="51">
        <f t="shared" ref="L5:L68" si="5">LEN(K5)</f>
        <v>8</v>
      </c>
      <c r="M5" s="55" t="str">
        <f t="shared" ref="M5:M68" si="6">LEFT(K5,2)</f>
        <v>ID</v>
      </c>
      <c r="N5" s="55" t="str">
        <f t="shared" ref="N5:N68" si="7">MID(K5,3,1)</f>
        <v>-</v>
      </c>
      <c r="O5" s="55" t="str">
        <f t="shared" ref="O5:O68" si="8">RIGHT(K5,1)</f>
        <v>2</v>
      </c>
      <c r="P5" s="53" t="str">
        <f t="shared" ref="P5:P68" si="9">_xlfn.CONCAT(M5,N5,O5)</f>
        <v>ID-2</v>
      </c>
      <c r="R5" s="51" t="s">
        <v>612</v>
      </c>
      <c r="S5" s="51" t="str">
        <f t="shared" ref="S5:S51" si="10">LEFT(R5,SEARCH("@",R5)-1)</f>
        <v>shivaverma</v>
      </c>
      <c r="T5" s="51" t="str">
        <f t="shared" ref="T5:T51" si="11">RIGHT(R5,LEN(R5)-SEARCH("@",R5))</f>
        <v>thebiman.com</v>
      </c>
      <c r="U5" s="51" t="str">
        <f t="shared" ref="U5:U51" si="12">_xlfn.CONCAT(S5,"@",T5)</f>
        <v>shivaverma@thebiman.com</v>
      </c>
      <c r="V5" s="51"/>
      <c r="W5" s="53" t="s">
        <v>611</v>
      </c>
      <c r="X5" s="51" t="s">
        <v>272</v>
      </c>
      <c r="Y5" s="51" t="s">
        <v>707</v>
      </c>
      <c r="Z5" s="51" t="s">
        <v>611</v>
      </c>
    </row>
    <row r="6" spans="1:26" s="45" customFormat="1" ht="14.4">
      <c r="A6" s="53" t="s">
        <v>610</v>
      </c>
      <c r="B6" s="53" t="s">
        <v>37</v>
      </c>
      <c r="C6" s="53" t="s">
        <v>38</v>
      </c>
      <c r="D6" s="54">
        <v>44656</v>
      </c>
      <c r="E6" s="54" t="str">
        <f t="shared" si="0"/>
        <v>mohit sharma</v>
      </c>
      <c r="F6" s="53" t="str">
        <f t="shared" si="1"/>
        <v>MOHIT SHARMA</v>
      </c>
      <c r="G6" s="53" t="str">
        <f t="shared" si="2"/>
        <v>mohit sharma</v>
      </c>
      <c r="H6" s="53" t="str">
        <f t="shared" si="3"/>
        <v>Mohit Sharma</v>
      </c>
      <c r="I6" s="53" t="str">
        <f t="shared" si="4"/>
        <v>ED-00003</v>
      </c>
      <c r="J6" s="51"/>
      <c r="K6" s="53" t="s">
        <v>610</v>
      </c>
      <c r="L6" s="51">
        <f t="shared" si="5"/>
        <v>8</v>
      </c>
      <c r="M6" s="55" t="str">
        <f t="shared" si="6"/>
        <v>ID</v>
      </c>
      <c r="N6" s="55" t="str">
        <f t="shared" si="7"/>
        <v>-</v>
      </c>
      <c r="O6" s="55" t="str">
        <f t="shared" si="8"/>
        <v>3</v>
      </c>
      <c r="P6" s="53" t="str">
        <f t="shared" si="9"/>
        <v>ID-3</v>
      </c>
      <c r="R6" s="51" t="s">
        <v>609</v>
      </c>
      <c r="S6" s="51" t="str">
        <f t="shared" si="10"/>
        <v>mohitsharma</v>
      </c>
      <c r="T6" s="51" t="str">
        <f t="shared" si="11"/>
        <v>thebiman.com</v>
      </c>
      <c r="U6" s="51" t="str">
        <f t="shared" si="12"/>
        <v>mohitsharma@thebiman.com</v>
      </c>
      <c r="V6" s="51"/>
      <c r="W6" s="53" t="s">
        <v>608</v>
      </c>
      <c r="X6" s="51" t="s">
        <v>140</v>
      </c>
      <c r="Y6" s="51" t="s">
        <v>708</v>
      </c>
      <c r="Z6" s="51" t="s">
        <v>608</v>
      </c>
    </row>
    <row r="7" spans="1:26" s="45" customFormat="1" ht="14.4">
      <c r="A7" s="53" t="s">
        <v>607</v>
      </c>
      <c r="B7" s="53" t="s">
        <v>41</v>
      </c>
      <c r="C7" s="53" t="s">
        <v>38</v>
      </c>
      <c r="D7" s="54">
        <v>44854</v>
      </c>
      <c r="E7" s="54" t="str">
        <f t="shared" si="0"/>
        <v>rupa juneja</v>
      </c>
      <c r="F7" s="53" t="str">
        <f t="shared" si="1"/>
        <v>RUPA JUNEJA</v>
      </c>
      <c r="G7" s="53" t="str">
        <f t="shared" si="2"/>
        <v>rupa juneja</v>
      </c>
      <c r="H7" s="53" t="str">
        <f t="shared" si="3"/>
        <v>Rupa Juneja</v>
      </c>
      <c r="I7" s="53" t="str">
        <f t="shared" si="4"/>
        <v>ED-00004</v>
      </c>
      <c r="J7" s="51"/>
      <c r="K7" s="53" t="s">
        <v>607</v>
      </c>
      <c r="L7" s="51">
        <f t="shared" si="5"/>
        <v>8</v>
      </c>
      <c r="M7" s="55" t="str">
        <f t="shared" si="6"/>
        <v>ID</v>
      </c>
      <c r="N7" s="55" t="str">
        <f t="shared" si="7"/>
        <v>-</v>
      </c>
      <c r="O7" s="55" t="str">
        <f t="shared" si="8"/>
        <v>4</v>
      </c>
      <c r="P7" s="53" t="str">
        <f t="shared" si="9"/>
        <v>ID-4</v>
      </c>
      <c r="R7" s="51" t="s">
        <v>606</v>
      </c>
      <c r="S7" s="51" t="str">
        <f t="shared" si="10"/>
        <v>rupajuneja</v>
      </c>
      <c r="T7" s="51" t="str">
        <f t="shared" si="11"/>
        <v>thebiman.com</v>
      </c>
      <c r="U7" s="51" t="str">
        <f t="shared" si="12"/>
        <v>rupajuneja@thebiman.com</v>
      </c>
      <c r="V7" s="51"/>
      <c r="W7" s="53" t="s">
        <v>605</v>
      </c>
      <c r="X7" s="51" t="s">
        <v>676</v>
      </c>
      <c r="Y7" s="51" t="s">
        <v>709</v>
      </c>
      <c r="Z7" s="51" t="s">
        <v>605</v>
      </c>
    </row>
    <row r="8" spans="1:26" s="45" customFormat="1" ht="14.4">
      <c r="A8" s="53" t="s">
        <v>604</v>
      </c>
      <c r="B8" s="53" t="s">
        <v>44</v>
      </c>
      <c r="C8" s="53" t="s">
        <v>38</v>
      </c>
      <c r="D8" s="54">
        <v>44637</v>
      </c>
      <c r="E8" s="54" t="str">
        <f t="shared" si="0"/>
        <v>deepak mehra</v>
      </c>
      <c r="F8" s="53" t="str">
        <f t="shared" si="1"/>
        <v>DEEPAK MEHRA</v>
      </c>
      <c r="G8" s="53" t="str">
        <f t="shared" si="2"/>
        <v>deepak mehra</v>
      </c>
      <c r="H8" s="53" t="str">
        <f t="shared" si="3"/>
        <v>Deepak Mehra</v>
      </c>
      <c r="I8" s="53" t="str">
        <f t="shared" si="4"/>
        <v>ED-00005</v>
      </c>
      <c r="J8" s="51"/>
      <c r="K8" s="53" t="s">
        <v>604</v>
      </c>
      <c r="L8" s="51">
        <f t="shared" si="5"/>
        <v>8</v>
      </c>
      <c r="M8" s="55" t="str">
        <f t="shared" si="6"/>
        <v>ID</v>
      </c>
      <c r="N8" s="55" t="str">
        <f t="shared" si="7"/>
        <v>-</v>
      </c>
      <c r="O8" s="55" t="str">
        <f t="shared" si="8"/>
        <v>5</v>
      </c>
      <c r="P8" s="53" t="str">
        <f t="shared" si="9"/>
        <v>ID-5</v>
      </c>
      <c r="R8" s="51" t="s">
        <v>603</v>
      </c>
      <c r="S8" s="51" t="str">
        <f t="shared" si="10"/>
        <v>deepakmehra</v>
      </c>
      <c r="T8" s="51" t="str">
        <f t="shared" si="11"/>
        <v>thebiman.com</v>
      </c>
      <c r="U8" s="51" t="str">
        <f t="shared" si="12"/>
        <v>deepakmehra@thebiman.com</v>
      </c>
      <c r="V8" s="51"/>
      <c r="W8" s="53" t="s">
        <v>602</v>
      </c>
      <c r="X8" s="51" t="s">
        <v>677</v>
      </c>
      <c r="Y8" s="51" t="s">
        <v>710</v>
      </c>
      <c r="Z8" s="51" t="s">
        <v>602</v>
      </c>
    </row>
    <row r="9" spans="1:26" s="45" customFormat="1" ht="14.4">
      <c r="A9" s="53" t="s">
        <v>600</v>
      </c>
      <c r="B9" s="53" t="s">
        <v>601</v>
      </c>
      <c r="C9" s="53" t="s">
        <v>34</v>
      </c>
      <c r="D9" s="54">
        <v>44610</v>
      </c>
      <c r="E9" s="54" t="str">
        <f t="shared" si="0"/>
        <v>ravi mehra</v>
      </c>
      <c r="F9" s="53" t="str">
        <f t="shared" si="1"/>
        <v>RAVI MEHRA</v>
      </c>
      <c r="G9" s="53" t="str">
        <f t="shared" si="2"/>
        <v>ravi mehra</v>
      </c>
      <c r="H9" s="53" t="str">
        <f t="shared" si="3"/>
        <v>Ravi Mehra</v>
      </c>
      <c r="I9" s="53" t="str">
        <f t="shared" si="4"/>
        <v>ED-00006</v>
      </c>
      <c r="J9" s="51"/>
      <c r="K9" s="53" t="s">
        <v>600</v>
      </c>
      <c r="L9" s="51">
        <f t="shared" si="5"/>
        <v>8</v>
      </c>
      <c r="M9" s="55" t="str">
        <f t="shared" si="6"/>
        <v>ID</v>
      </c>
      <c r="N9" s="55" t="str">
        <f t="shared" si="7"/>
        <v>-</v>
      </c>
      <c r="O9" s="55" t="str">
        <f t="shared" si="8"/>
        <v>6</v>
      </c>
      <c r="P9" s="53" t="str">
        <f t="shared" si="9"/>
        <v>ID-6</v>
      </c>
      <c r="R9" s="51" t="s">
        <v>599</v>
      </c>
      <c r="S9" s="51" t="str">
        <f t="shared" si="10"/>
        <v>ravimehra</v>
      </c>
      <c r="T9" s="51" t="str">
        <f t="shared" si="11"/>
        <v>thebiman.com</v>
      </c>
      <c r="U9" s="51" t="str">
        <f t="shared" si="12"/>
        <v>ravimehra@thebiman.com</v>
      </c>
      <c r="V9" s="51"/>
      <c r="W9" s="53" t="s">
        <v>598</v>
      </c>
      <c r="X9" s="51" t="s">
        <v>270</v>
      </c>
      <c r="Y9" s="51" t="s">
        <v>710</v>
      </c>
      <c r="Z9" s="51" t="s">
        <v>598</v>
      </c>
    </row>
    <row r="10" spans="1:26" s="45" customFormat="1" ht="14.4">
      <c r="A10" s="53" t="s">
        <v>597</v>
      </c>
      <c r="B10" s="53" t="s">
        <v>49</v>
      </c>
      <c r="C10" s="53" t="s">
        <v>34</v>
      </c>
      <c r="D10" s="54">
        <v>44600</v>
      </c>
      <c r="E10" s="54" t="str">
        <f t="shared" si="0"/>
        <v>shiva mehra</v>
      </c>
      <c r="F10" s="53" t="str">
        <f t="shared" si="1"/>
        <v>SHIVA MEHRA</v>
      </c>
      <c r="G10" s="53" t="str">
        <f t="shared" si="2"/>
        <v>shiva mehra</v>
      </c>
      <c r="H10" s="53" t="str">
        <f t="shared" si="3"/>
        <v>Shiva Mehra</v>
      </c>
      <c r="I10" s="53" t="str">
        <f t="shared" si="4"/>
        <v>ED-00007</v>
      </c>
      <c r="J10" s="51"/>
      <c r="K10" s="53" t="s">
        <v>597</v>
      </c>
      <c r="L10" s="51">
        <f t="shared" si="5"/>
        <v>8</v>
      </c>
      <c r="M10" s="55" t="str">
        <f t="shared" si="6"/>
        <v>ID</v>
      </c>
      <c r="N10" s="55" t="str">
        <f t="shared" si="7"/>
        <v>-</v>
      </c>
      <c r="O10" s="55" t="str">
        <f t="shared" si="8"/>
        <v>7</v>
      </c>
      <c r="P10" s="53" t="str">
        <f t="shared" si="9"/>
        <v>ID-7</v>
      </c>
      <c r="R10" s="51" t="s">
        <v>596</v>
      </c>
      <c r="S10" s="51" t="str">
        <f t="shared" si="10"/>
        <v>shivamehra</v>
      </c>
      <c r="T10" s="51" t="str">
        <f t="shared" si="11"/>
        <v>thebiman.com</v>
      </c>
      <c r="U10" s="51" t="str">
        <f t="shared" si="12"/>
        <v>shivamehra@thebiman.com</v>
      </c>
      <c r="V10" s="51"/>
      <c r="W10" s="53" t="s">
        <v>595</v>
      </c>
      <c r="X10" s="51" t="s">
        <v>272</v>
      </c>
      <c r="Y10" s="51" t="s">
        <v>710</v>
      </c>
      <c r="Z10" s="51" t="s">
        <v>595</v>
      </c>
    </row>
    <row r="11" spans="1:26" s="45" customFormat="1" ht="14.4">
      <c r="A11" s="53" t="s">
        <v>594</v>
      </c>
      <c r="B11" s="53" t="s">
        <v>52</v>
      </c>
      <c r="C11" s="53" t="s">
        <v>34</v>
      </c>
      <c r="D11" s="54">
        <v>44321</v>
      </c>
      <c r="E11" s="54" t="str">
        <f t="shared" si="0"/>
        <v>babu singh</v>
      </c>
      <c r="F11" s="53" t="str">
        <f t="shared" si="1"/>
        <v>BABU SINGH</v>
      </c>
      <c r="G11" s="53" t="str">
        <f t="shared" si="2"/>
        <v>babu singh</v>
      </c>
      <c r="H11" s="53" t="str">
        <f t="shared" si="3"/>
        <v>Babu Singh</v>
      </c>
      <c r="I11" s="53" t="str">
        <f t="shared" si="4"/>
        <v>ED-00008</v>
      </c>
      <c r="J11" s="51"/>
      <c r="K11" s="53" t="s">
        <v>594</v>
      </c>
      <c r="L11" s="51">
        <f t="shared" si="5"/>
        <v>8</v>
      </c>
      <c r="M11" s="55" t="str">
        <f t="shared" si="6"/>
        <v>ID</v>
      </c>
      <c r="N11" s="55" t="str">
        <f t="shared" si="7"/>
        <v>-</v>
      </c>
      <c r="O11" s="55" t="str">
        <f t="shared" si="8"/>
        <v>8</v>
      </c>
      <c r="P11" s="53" t="str">
        <f t="shared" si="9"/>
        <v>ID-8</v>
      </c>
      <c r="R11" s="51" t="s">
        <v>593</v>
      </c>
      <c r="S11" s="51" t="str">
        <f t="shared" si="10"/>
        <v>babusingh</v>
      </c>
      <c r="T11" s="51" t="str">
        <f t="shared" si="11"/>
        <v>thebiman.com</v>
      </c>
      <c r="U11" s="51" t="str">
        <f t="shared" si="12"/>
        <v>babusingh@thebiman.com</v>
      </c>
      <c r="V11" s="51"/>
      <c r="W11" s="53" t="s">
        <v>592</v>
      </c>
      <c r="X11" s="51" t="s">
        <v>678</v>
      </c>
      <c r="Y11" s="51" t="s">
        <v>711</v>
      </c>
      <c r="Z11" s="51" t="s">
        <v>592</v>
      </c>
    </row>
    <row r="12" spans="1:26" s="45" customFormat="1" ht="14.4">
      <c r="A12" s="53" t="s">
        <v>591</v>
      </c>
      <c r="B12" s="53" t="s">
        <v>54</v>
      </c>
      <c r="C12" s="53" t="s">
        <v>30</v>
      </c>
      <c r="D12" s="54">
        <v>44370</v>
      </c>
      <c r="E12" s="54" t="str">
        <f t="shared" si="0"/>
        <v>jalal singh</v>
      </c>
      <c r="F12" s="53" t="str">
        <f t="shared" si="1"/>
        <v>JALAL SINGH</v>
      </c>
      <c r="G12" s="53" t="str">
        <f t="shared" si="2"/>
        <v>jalal singh</v>
      </c>
      <c r="H12" s="53" t="str">
        <f t="shared" si="3"/>
        <v>Jalal Singh</v>
      </c>
      <c r="I12" s="53" t="str">
        <f t="shared" si="4"/>
        <v>ED-00009</v>
      </c>
      <c r="J12" s="51"/>
      <c r="K12" s="53" t="s">
        <v>591</v>
      </c>
      <c r="L12" s="51">
        <f t="shared" si="5"/>
        <v>8</v>
      </c>
      <c r="M12" s="55" t="str">
        <f t="shared" si="6"/>
        <v>ID</v>
      </c>
      <c r="N12" s="55" t="str">
        <f t="shared" si="7"/>
        <v>-</v>
      </c>
      <c r="O12" s="55" t="str">
        <f t="shared" si="8"/>
        <v>9</v>
      </c>
      <c r="P12" s="53" t="str">
        <f t="shared" si="9"/>
        <v>ID-9</v>
      </c>
      <c r="R12" s="51" t="s">
        <v>590</v>
      </c>
      <c r="S12" s="51" t="str">
        <f t="shared" si="10"/>
        <v>jalalsingh</v>
      </c>
      <c r="T12" s="51" t="str">
        <f t="shared" si="11"/>
        <v>thebiman.com</v>
      </c>
      <c r="U12" s="51" t="str">
        <f t="shared" si="12"/>
        <v>jalalsingh@thebiman.com</v>
      </c>
      <c r="V12" s="51"/>
      <c r="W12" s="53" t="s">
        <v>589</v>
      </c>
      <c r="X12" s="51" t="s">
        <v>679</v>
      </c>
      <c r="Y12" s="51" t="s">
        <v>711</v>
      </c>
      <c r="Z12" s="51" t="s">
        <v>589</v>
      </c>
    </row>
    <row r="13" spans="1:26" s="45" customFormat="1" ht="14.4">
      <c r="A13" s="53" t="s">
        <v>588</v>
      </c>
      <c r="B13" s="53" t="s">
        <v>29</v>
      </c>
      <c r="C13" s="53" t="s">
        <v>30</v>
      </c>
      <c r="D13" s="54">
        <v>44697</v>
      </c>
      <c r="E13" s="54" t="str">
        <f t="shared" si="0"/>
        <v>ravi roy</v>
      </c>
      <c r="F13" s="53" t="str">
        <f t="shared" si="1"/>
        <v>RAVI ROY</v>
      </c>
      <c r="G13" s="53" t="str">
        <f t="shared" si="2"/>
        <v>ravi roy</v>
      </c>
      <c r="H13" s="53" t="str">
        <f t="shared" si="3"/>
        <v>Ravi Roy</v>
      </c>
      <c r="I13" s="53" t="str">
        <f t="shared" si="4"/>
        <v>ED-00010</v>
      </c>
      <c r="J13" s="51"/>
      <c r="K13" s="53" t="s">
        <v>588</v>
      </c>
      <c r="L13" s="51">
        <f t="shared" si="5"/>
        <v>8</v>
      </c>
      <c r="M13" s="55" t="str">
        <f t="shared" si="6"/>
        <v>ID</v>
      </c>
      <c r="N13" s="55" t="str">
        <f t="shared" si="7"/>
        <v>-</v>
      </c>
      <c r="O13" s="55" t="str">
        <f t="shared" si="8"/>
        <v>0</v>
      </c>
      <c r="P13" s="53" t="str">
        <f t="shared" si="9"/>
        <v>ID-0</v>
      </c>
      <c r="R13" s="51" t="s">
        <v>587</v>
      </c>
      <c r="S13" s="51" t="str">
        <f t="shared" si="10"/>
        <v>raviroy</v>
      </c>
      <c r="T13" s="51" t="str">
        <f t="shared" si="11"/>
        <v>thebiman.com</v>
      </c>
      <c r="U13" s="51" t="str">
        <f t="shared" si="12"/>
        <v>raviroy@thebiman.com</v>
      </c>
      <c r="V13" s="51"/>
      <c r="W13" s="53" t="s">
        <v>586</v>
      </c>
      <c r="X13" s="51" t="s">
        <v>270</v>
      </c>
      <c r="Y13" s="51" t="s">
        <v>706</v>
      </c>
      <c r="Z13" s="51" t="s">
        <v>586</v>
      </c>
    </row>
    <row r="14" spans="1:26" s="45" customFormat="1" ht="14.4">
      <c r="A14" s="53" t="s">
        <v>584</v>
      </c>
      <c r="B14" s="53" t="s">
        <v>585</v>
      </c>
      <c r="C14" s="53" t="s">
        <v>58</v>
      </c>
      <c r="D14" s="54">
        <v>44791</v>
      </c>
      <c r="E14" s="54" t="str">
        <f t="shared" si="0"/>
        <v>rohit gulati</v>
      </c>
      <c r="F14" s="53" t="str">
        <f t="shared" si="1"/>
        <v>ROHIT GULATI</v>
      </c>
      <c r="G14" s="53" t="str">
        <f t="shared" si="2"/>
        <v>rohit gulati</v>
      </c>
      <c r="H14" s="53" t="str">
        <f t="shared" si="3"/>
        <v>Rohit Gulati</v>
      </c>
      <c r="I14" s="53" t="str">
        <f t="shared" si="4"/>
        <v>ED-00011</v>
      </c>
      <c r="J14" s="51"/>
      <c r="K14" s="53" t="s">
        <v>584</v>
      </c>
      <c r="L14" s="51">
        <f t="shared" si="5"/>
        <v>8</v>
      </c>
      <c r="M14" s="55" t="str">
        <f t="shared" si="6"/>
        <v>ID</v>
      </c>
      <c r="N14" s="55" t="str">
        <f t="shared" si="7"/>
        <v>-</v>
      </c>
      <c r="O14" s="55" t="str">
        <f t="shared" si="8"/>
        <v>1</v>
      </c>
      <c r="P14" s="53" t="str">
        <f t="shared" si="9"/>
        <v>ID-1</v>
      </c>
      <c r="R14" s="51" t="s">
        <v>583</v>
      </c>
      <c r="S14" s="51" t="str">
        <f t="shared" si="10"/>
        <v>rohitgulati</v>
      </c>
      <c r="T14" s="51" t="str">
        <f t="shared" si="11"/>
        <v>thebiman.com</v>
      </c>
      <c r="U14" s="51" t="str">
        <f t="shared" si="12"/>
        <v>rohitgulati@thebiman.com</v>
      </c>
      <c r="V14" s="51"/>
      <c r="W14" s="53" t="s">
        <v>582</v>
      </c>
      <c r="X14" s="51" t="s">
        <v>680</v>
      </c>
      <c r="Y14" s="51" t="s">
        <v>712</v>
      </c>
      <c r="Z14" s="51" t="s">
        <v>582</v>
      </c>
    </row>
    <row r="15" spans="1:26" s="45" customFormat="1" ht="14.4">
      <c r="A15" s="53" t="s">
        <v>580</v>
      </c>
      <c r="B15" s="53" t="s">
        <v>581</v>
      </c>
      <c r="C15" s="53" t="s">
        <v>58</v>
      </c>
      <c r="D15" s="54">
        <v>44425</v>
      </c>
      <c r="E15" s="54" t="str">
        <f t="shared" si="0"/>
        <v>IDter darshan</v>
      </c>
      <c r="F15" s="53" t="str">
        <f t="shared" si="1"/>
        <v>IDTER DARSHAN</v>
      </c>
      <c r="G15" s="53" t="str">
        <f t="shared" si="2"/>
        <v>idter darshan</v>
      </c>
      <c r="H15" s="53" t="str">
        <f t="shared" si="3"/>
        <v>Idter Darshan</v>
      </c>
      <c r="I15" s="53" t="str">
        <f t="shared" si="4"/>
        <v>ED-00012</v>
      </c>
      <c r="J15" s="51"/>
      <c r="K15" s="53" t="s">
        <v>580</v>
      </c>
      <c r="L15" s="51">
        <f t="shared" si="5"/>
        <v>8</v>
      </c>
      <c r="M15" s="55" t="str">
        <f t="shared" si="6"/>
        <v>ID</v>
      </c>
      <c r="N15" s="55" t="str">
        <f t="shared" si="7"/>
        <v>-</v>
      </c>
      <c r="O15" s="55" t="str">
        <f t="shared" si="8"/>
        <v>2</v>
      </c>
      <c r="P15" s="53" t="str">
        <f t="shared" si="9"/>
        <v>ID-2</v>
      </c>
      <c r="R15" s="51" t="s">
        <v>579</v>
      </c>
      <c r="S15" s="51" t="str">
        <f t="shared" si="10"/>
        <v>IDterdarshan</v>
      </c>
      <c r="T15" s="51" t="str">
        <f t="shared" si="11"/>
        <v>thebiman.com</v>
      </c>
      <c r="U15" s="51" t="str">
        <f t="shared" si="12"/>
        <v>IDterdarshan@thebiman.com</v>
      </c>
      <c r="V15" s="51"/>
      <c r="W15" s="53" t="s">
        <v>578</v>
      </c>
      <c r="X15" s="51" t="s">
        <v>681</v>
      </c>
      <c r="Y15" s="51" t="s">
        <v>713</v>
      </c>
      <c r="Z15" s="51" t="s">
        <v>578</v>
      </c>
    </row>
    <row r="16" spans="1:26" s="45" customFormat="1" ht="14.4">
      <c r="A16" s="53" t="s">
        <v>577</v>
      </c>
      <c r="B16" s="53" t="s">
        <v>62</v>
      </c>
      <c r="C16" s="53" t="s">
        <v>58</v>
      </c>
      <c r="D16" s="54">
        <v>44475</v>
      </c>
      <c r="E16" s="54" t="str">
        <f t="shared" si="0"/>
        <v>deepak verma</v>
      </c>
      <c r="F16" s="53" t="str">
        <f t="shared" si="1"/>
        <v>DEEPAK VERMA</v>
      </c>
      <c r="G16" s="53" t="str">
        <f t="shared" si="2"/>
        <v>deepak verma</v>
      </c>
      <c r="H16" s="53" t="str">
        <f t="shared" si="3"/>
        <v>Deepak Verma</v>
      </c>
      <c r="I16" s="53" t="str">
        <f t="shared" si="4"/>
        <v>ED-00013</v>
      </c>
      <c r="J16" s="51"/>
      <c r="K16" s="53" t="s">
        <v>577</v>
      </c>
      <c r="L16" s="51">
        <f t="shared" si="5"/>
        <v>8</v>
      </c>
      <c r="M16" s="55" t="str">
        <f t="shared" si="6"/>
        <v>ID</v>
      </c>
      <c r="N16" s="55" t="str">
        <f t="shared" si="7"/>
        <v>-</v>
      </c>
      <c r="O16" s="55" t="str">
        <f t="shared" si="8"/>
        <v>3</v>
      </c>
      <c r="P16" s="53" t="str">
        <f t="shared" si="9"/>
        <v>ID-3</v>
      </c>
      <c r="R16" s="51" t="s">
        <v>576</v>
      </c>
      <c r="S16" s="51" t="str">
        <f t="shared" si="10"/>
        <v>deepakverma</v>
      </c>
      <c r="T16" s="51" t="str">
        <f t="shared" si="11"/>
        <v>thebiman.com</v>
      </c>
      <c r="U16" s="51" t="str">
        <f t="shared" si="12"/>
        <v>deepakverma@thebiman.com</v>
      </c>
      <c r="V16" s="51"/>
      <c r="W16" s="53" t="s">
        <v>575</v>
      </c>
      <c r="X16" s="51" t="s">
        <v>677</v>
      </c>
      <c r="Y16" s="51" t="s">
        <v>707</v>
      </c>
      <c r="Z16" s="51" t="s">
        <v>575</v>
      </c>
    </row>
    <row r="17" spans="1:26" s="45" customFormat="1" ht="14.4">
      <c r="A17" s="53" t="s">
        <v>574</v>
      </c>
      <c r="B17" s="53" t="s">
        <v>64</v>
      </c>
      <c r="C17" s="53" t="s">
        <v>65</v>
      </c>
      <c r="D17" s="54">
        <v>44461</v>
      </c>
      <c r="E17" s="54" t="str">
        <f t="shared" si="0"/>
        <v>juhi roy</v>
      </c>
      <c r="F17" s="53" t="str">
        <f t="shared" si="1"/>
        <v>JUHI ROY</v>
      </c>
      <c r="G17" s="53" t="str">
        <f t="shared" si="2"/>
        <v>juhi roy</v>
      </c>
      <c r="H17" s="53" t="str">
        <f t="shared" si="3"/>
        <v>Juhi Roy</v>
      </c>
      <c r="I17" s="53" t="str">
        <f t="shared" si="4"/>
        <v>ED-00014</v>
      </c>
      <c r="J17" s="51"/>
      <c r="K17" s="53" t="s">
        <v>574</v>
      </c>
      <c r="L17" s="51">
        <f t="shared" si="5"/>
        <v>8</v>
      </c>
      <c r="M17" s="55" t="str">
        <f t="shared" si="6"/>
        <v>ID</v>
      </c>
      <c r="N17" s="55" t="str">
        <f t="shared" si="7"/>
        <v>-</v>
      </c>
      <c r="O17" s="55" t="str">
        <f t="shared" si="8"/>
        <v>4</v>
      </c>
      <c r="P17" s="53" t="str">
        <f t="shared" si="9"/>
        <v>ID-4</v>
      </c>
      <c r="R17" s="51" t="s">
        <v>573</v>
      </c>
      <c r="S17" s="51" t="str">
        <f t="shared" si="10"/>
        <v>juhiroy</v>
      </c>
      <c r="T17" s="51" t="str">
        <f t="shared" si="11"/>
        <v>thebiman.com</v>
      </c>
      <c r="U17" s="51" t="str">
        <f t="shared" si="12"/>
        <v>juhiroy@thebiman.com</v>
      </c>
      <c r="V17" s="51"/>
      <c r="W17" s="53" t="s">
        <v>572</v>
      </c>
      <c r="X17" s="51" t="s">
        <v>682</v>
      </c>
      <c r="Y17" s="51" t="s">
        <v>706</v>
      </c>
      <c r="Z17" s="51" t="s">
        <v>572</v>
      </c>
    </row>
    <row r="18" spans="1:26" s="45" customFormat="1" ht="14.4">
      <c r="A18" s="53" t="s">
        <v>571</v>
      </c>
      <c r="B18" s="53" t="s">
        <v>67</v>
      </c>
      <c r="C18" s="53" t="s">
        <v>65</v>
      </c>
      <c r="D18" s="54">
        <v>44530</v>
      </c>
      <c r="E18" s="54" t="str">
        <f t="shared" si="0"/>
        <v>kareena sharma</v>
      </c>
      <c r="F18" s="53" t="str">
        <f t="shared" si="1"/>
        <v>KAREENA SHARMA</v>
      </c>
      <c r="G18" s="53" t="str">
        <f t="shared" si="2"/>
        <v>kareena sharma</v>
      </c>
      <c r="H18" s="53" t="str">
        <f t="shared" si="3"/>
        <v>Kareena Sharma</v>
      </c>
      <c r="I18" s="53" t="str">
        <f t="shared" si="4"/>
        <v>ED-00015</v>
      </c>
      <c r="J18" s="51"/>
      <c r="K18" s="53" t="s">
        <v>571</v>
      </c>
      <c r="L18" s="51">
        <f t="shared" si="5"/>
        <v>8</v>
      </c>
      <c r="M18" s="55" t="str">
        <f t="shared" si="6"/>
        <v>ID</v>
      </c>
      <c r="N18" s="55" t="str">
        <f t="shared" si="7"/>
        <v>-</v>
      </c>
      <c r="O18" s="55" t="str">
        <f t="shared" si="8"/>
        <v>5</v>
      </c>
      <c r="P18" s="53" t="str">
        <f t="shared" si="9"/>
        <v>ID-5</v>
      </c>
      <c r="R18" s="51" t="s">
        <v>570</v>
      </c>
      <c r="S18" s="51" t="str">
        <f t="shared" si="10"/>
        <v>kareenasharma</v>
      </c>
      <c r="T18" s="51" t="str">
        <f t="shared" si="11"/>
        <v>thebiman.com</v>
      </c>
      <c r="U18" s="51" t="str">
        <f t="shared" si="12"/>
        <v>kareenasharma@thebiman.com</v>
      </c>
      <c r="V18" s="51"/>
      <c r="W18" s="53" t="s">
        <v>569</v>
      </c>
      <c r="X18" s="51" t="s">
        <v>683</v>
      </c>
      <c r="Y18" s="51" t="s">
        <v>708</v>
      </c>
      <c r="Z18" s="51" t="s">
        <v>569</v>
      </c>
    </row>
    <row r="19" spans="1:26" s="45" customFormat="1" ht="14.4">
      <c r="A19" s="53" t="s">
        <v>568</v>
      </c>
      <c r="B19" s="53" t="s">
        <v>69</v>
      </c>
      <c r="C19" s="53" t="s">
        <v>65</v>
      </c>
      <c r="D19" s="54">
        <v>44523</v>
      </c>
      <c r="E19" s="54" t="str">
        <f t="shared" si="0"/>
        <v>rahul jain</v>
      </c>
      <c r="F19" s="53" t="str">
        <f t="shared" si="1"/>
        <v>RAHUL JAIN</v>
      </c>
      <c r="G19" s="53" t="str">
        <f t="shared" si="2"/>
        <v>rahul jain</v>
      </c>
      <c r="H19" s="53" t="str">
        <f t="shared" si="3"/>
        <v>Rahul Jain</v>
      </c>
      <c r="I19" s="53" t="str">
        <f t="shared" si="4"/>
        <v>ED-00016</v>
      </c>
      <c r="J19" s="51"/>
      <c r="K19" s="53" t="s">
        <v>568</v>
      </c>
      <c r="L19" s="51">
        <f t="shared" si="5"/>
        <v>8</v>
      </c>
      <c r="M19" s="55" t="str">
        <f t="shared" si="6"/>
        <v>ID</v>
      </c>
      <c r="N19" s="55" t="str">
        <f t="shared" si="7"/>
        <v>-</v>
      </c>
      <c r="O19" s="55" t="str">
        <f t="shared" si="8"/>
        <v>6</v>
      </c>
      <c r="P19" s="53" t="str">
        <f t="shared" si="9"/>
        <v>ID-6</v>
      </c>
      <c r="R19" s="51" t="s">
        <v>567</v>
      </c>
      <c r="S19" s="51" t="str">
        <f t="shared" si="10"/>
        <v>rahuljain</v>
      </c>
      <c r="T19" s="51" t="str">
        <f t="shared" si="11"/>
        <v>thebiman.com</v>
      </c>
      <c r="U19" s="51" t="str">
        <f t="shared" si="12"/>
        <v>rahuljain@thebiman.com</v>
      </c>
      <c r="V19" s="51"/>
      <c r="W19" s="53" t="s">
        <v>566</v>
      </c>
      <c r="X19" s="51" t="s">
        <v>684</v>
      </c>
      <c r="Y19" s="51" t="s">
        <v>714</v>
      </c>
      <c r="Z19" s="51" t="s">
        <v>566</v>
      </c>
    </row>
    <row r="20" spans="1:26" s="45" customFormat="1" ht="14.4">
      <c r="A20" s="53" t="s">
        <v>565</v>
      </c>
      <c r="B20" s="53" t="s">
        <v>71</v>
      </c>
      <c r="C20" s="53" t="s">
        <v>65</v>
      </c>
      <c r="D20" s="54">
        <v>44939</v>
      </c>
      <c r="E20" s="54" t="str">
        <f t="shared" si="0"/>
        <v>rohan jain</v>
      </c>
      <c r="F20" s="53" t="str">
        <f t="shared" si="1"/>
        <v>ROHAN JAIN</v>
      </c>
      <c r="G20" s="53" t="str">
        <f t="shared" si="2"/>
        <v>rohan jain</v>
      </c>
      <c r="H20" s="53" t="str">
        <f t="shared" si="3"/>
        <v>Rohan Jain</v>
      </c>
      <c r="I20" s="53" t="str">
        <f t="shared" si="4"/>
        <v>ED-00017</v>
      </c>
      <c r="J20" s="51"/>
      <c r="K20" s="53" t="s">
        <v>565</v>
      </c>
      <c r="L20" s="51">
        <f t="shared" si="5"/>
        <v>8</v>
      </c>
      <c r="M20" s="55" t="str">
        <f t="shared" si="6"/>
        <v>ID</v>
      </c>
      <c r="N20" s="55" t="str">
        <f t="shared" si="7"/>
        <v>-</v>
      </c>
      <c r="O20" s="55" t="str">
        <f t="shared" si="8"/>
        <v>7</v>
      </c>
      <c r="P20" s="53" t="str">
        <f t="shared" si="9"/>
        <v>ID-7</v>
      </c>
      <c r="R20" s="51" t="s">
        <v>564</v>
      </c>
      <c r="S20" s="51" t="str">
        <f t="shared" si="10"/>
        <v>rohanjain</v>
      </c>
      <c r="T20" s="51" t="str">
        <f t="shared" si="11"/>
        <v>thebiman.com</v>
      </c>
      <c r="U20" s="51" t="str">
        <f t="shared" si="12"/>
        <v>rohanjain@thebiman.com</v>
      </c>
      <c r="V20" s="51"/>
      <c r="W20" s="53" t="s">
        <v>563</v>
      </c>
      <c r="X20" s="51" t="s">
        <v>351</v>
      </c>
      <c r="Y20" s="51" t="s">
        <v>714</v>
      </c>
      <c r="Z20" s="51" t="s">
        <v>563</v>
      </c>
    </row>
    <row r="21" spans="1:26" s="45" customFormat="1" ht="14.4">
      <c r="A21" s="53" t="s">
        <v>562</v>
      </c>
      <c r="B21" s="53" t="s">
        <v>73</v>
      </c>
      <c r="C21" s="53" t="s">
        <v>65</v>
      </c>
      <c r="D21" s="54">
        <v>44631</v>
      </c>
      <c r="E21" s="54" t="str">
        <f t="shared" si="0"/>
        <v>manav verma</v>
      </c>
      <c r="F21" s="53" t="str">
        <f t="shared" si="1"/>
        <v>MANAV VERMA</v>
      </c>
      <c r="G21" s="53" t="str">
        <f t="shared" si="2"/>
        <v>manav verma</v>
      </c>
      <c r="H21" s="53" t="str">
        <f t="shared" si="3"/>
        <v>Manav Verma</v>
      </c>
      <c r="I21" s="53" t="str">
        <f t="shared" si="4"/>
        <v>ED-00018</v>
      </c>
      <c r="J21" s="51"/>
      <c r="K21" s="53" t="s">
        <v>562</v>
      </c>
      <c r="L21" s="51">
        <f t="shared" si="5"/>
        <v>8</v>
      </c>
      <c r="M21" s="55" t="str">
        <f t="shared" si="6"/>
        <v>ID</v>
      </c>
      <c r="N21" s="55" t="str">
        <f t="shared" si="7"/>
        <v>-</v>
      </c>
      <c r="O21" s="55" t="str">
        <f t="shared" si="8"/>
        <v>8</v>
      </c>
      <c r="P21" s="53" t="str">
        <f t="shared" si="9"/>
        <v>ID-8</v>
      </c>
      <c r="R21" s="51" t="s">
        <v>536</v>
      </c>
      <c r="S21" s="51" t="str">
        <f t="shared" si="10"/>
        <v>manavverma</v>
      </c>
      <c r="T21" s="51" t="str">
        <f t="shared" si="11"/>
        <v>thebiman.com</v>
      </c>
      <c r="U21" s="51" t="str">
        <f t="shared" si="12"/>
        <v>manavverma@thebiman.com</v>
      </c>
      <c r="V21" s="51"/>
      <c r="W21" s="53" t="s">
        <v>535</v>
      </c>
      <c r="X21" s="51" t="s">
        <v>685</v>
      </c>
      <c r="Y21" s="51" t="s">
        <v>707</v>
      </c>
      <c r="Z21" s="51" t="s">
        <v>535</v>
      </c>
    </row>
    <row r="22" spans="1:26" s="45" customFormat="1" ht="14.4">
      <c r="A22" s="53" t="s">
        <v>561</v>
      </c>
      <c r="B22" s="53" t="s">
        <v>75</v>
      </c>
      <c r="C22" s="53" t="s">
        <v>58</v>
      </c>
      <c r="D22" s="54">
        <v>44931</v>
      </c>
      <c r="E22" s="54" t="str">
        <f t="shared" si="0"/>
        <v>alok gupta</v>
      </c>
      <c r="F22" s="53" t="str">
        <f t="shared" si="1"/>
        <v>ALOK GUPTA</v>
      </c>
      <c r="G22" s="53" t="str">
        <f t="shared" si="2"/>
        <v>alok gupta</v>
      </c>
      <c r="H22" s="53" t="str">
        <f t="shared" si="3"/>
        <v>Alok Gupta</v>
      </c>
      <c r="I22" s="53" t="str">
        <f t="shared" si="4"/>
        <v>ED-00019</v>
      </c>
      <c r="J22" s="51"/>
      <c r="K22" s="53" t="s">
        <v>561</v>
      </c>
      <c r="L22" s="51">
        <f t="shared" si="5"/>
        <v>8</v>
      </c>
      <c r="M22" s="55" t="str">
        <f t="shared" si="6"/>
        <v>ID</v>
      </c>
      <c r="N22" s="55" t="str">
        <f t="shared" si="7"/>
        <v>-</v>
      </c>
      <c r="O22" s="55" t="str">
        <f t="shared" si="8"/>
        <v>9</v>
      </c>
      <c r="P22" s="53" t="str">
        <f t="shared" si="9"/>
        <v>ID-9</v>
      </c>
      <c r="R22" s="51" t="s">
        <v>560</v>
      </c>
      <c r="S22" s="51" t="str">
        <f t="shared" si="10"/>
        <v>alokgupta</v>
      </c>
      <c r="T22" s="51" t="str">
        <f t="shared" si="11"/>
        <v>thebiman.com</v>
      </c>
      <c r="U22" s="51" t="str">
        <f t="shared" si="12"/>
        <v>alokgupta@thebiman.com</v>
      </c>
      <c r="V22" s="51"/>
      <c r="W22" s="53" t="s">
        <v>559</v>
      </c>
      <c r="X22" s="51" t="s">
        <v>686</v>
      </c>
      <c r="Y22" s="51" t="s">
        <v>715</v>
      </c>
      <c r="Z22" s="51" t="s">
        <v>559</v>
      </c>
    </row>
    <row r="23" spans="1:26" s="45" customFormat="1" ht="14.4">
      <c r="A23" s="53" t="s">
        <v>558</v>
      </c>
      <c r="B23" s="53" t="s">
        <v>77</v>
      </c>
      <c r="C23" s="53" t="s">
        <v>38</v>
      </c>
      <c r="D23" s="54">
        <v>44441</v>
      </c>
      <c r="E23" s="54" t="str">
        <f t="shared" si="0"/>
        <v>manoj kumar</v>
      </c>
      <c r="F23" s="53" t="str">
        <f t="shared" si="1"/>
        <v>MANOJ KUMAR</v>
      </c>
      <c r="G23" s="53" t="str">
        <f t="shared" si="2"/>
        <v>manoj kumar</v>
      </c>
      <c r="H23" s="53" t="str">
        <f t="shared" si="3"/>
        <v>Manoj Kumar</v>
      </c>
      <c r="I23" s="53" t="str">
        <f t="shared" si="4"/>
        <v>ED-00020</v>
      </c>
      <c r="J23" s="51"/>
      <c r="K23" s="53" t="s">
        <v>558</v>
      </c>
      <c r="L23" s="51">
        <f t="shared" si="5"/>
        <v>8</v>
      </c>
      <c r="M23" s="55" t="str">
        <f t="shared" si="6"/>
        <v>ID</v>
      </c>
      <c r="N23" s="55" t="str">
        <f t="shared" si="7"/>
        <v>-</v>
      </c>
      <c r="O23" s="55" t="str">
        <f t="shared" si="8"/>
        <v>0</v>
      </c>
      <c r="P23" s="53" t="str">
        <f t="shared" si="9"/>
        <v>ID-0</v>
      </c>
      <c r="R23" s="51" t="s">
        <v>557</v>
      </c>
      <c r="S23" s="51" t="str">
        <f t="shared" si="10"/>
        <v>manojkumar</v>
      </c>
      <c r="T23" s="51" t="str">
        <f t="shared" si="11"/>
        <v>thebiman.com</v>
      </c>
      <c r="U23" s="51" t="str">
        <f t="shared" si="12"/>
        <v>manojkumar@thebiman.com</v>
      </c>
      <c r="V23" s="51"/>
      <c r="W23" s="53" t="s">
        <v>556</v>
      </c>
      <c r="X23" s="51" t="s">
        <v>687</v>
      </c>
      <c r="Y23" s="51" t="s">
        <v>716</v>
      </c>
      <c r="Z23" s="51" t="s">
        <v>556</v>
      </c>
    </row>
    <row r="24" spans="1:26" s="45" customFormat="1" ht="14.4">
      <c r="A24" s="53" t="s">
        <v>555</v>
      </c>
      <c r="B24" s="53" t="s">
        <v>79</v>
      </c>
      <c r="C24" s="53" t="s">
        <v>38</v>
      </c>
      <c r="D24" s="54">
        <v>44594</v>
      </c>
      <c r="E24" s="54" t="str">
        <f t="shared" si="0"/>
        <v>rohan kumar</v>
      </c>
      <c r="F24" s="53" t="str">
        <f t="shared" si="1"/>
        <v>ROHAN KUMAR</v>
      </c>
      <c r="G24" s="53" t="str">
        <f t="shared" si="2"/>
        <v>rohan kumar</v>
      </c>
      <c r="H24" s="53" t="str">
        <f t="shared" si="3"/>
        <v>Rohan Kumar</v>
      </c>
      <c r="I24" s="53" t="str">
        <f t="shared" si="4"/>
        <v>ED-00021</v>
      </c>
      <c r="J24" s="51"/>
      <c r="K24" s="53" t="s">
        <v>555</v>
      </c>
      <c r="L24" s="51">
        <f t="shared" si="5"/>
        <v>8</v>
      </c>
      <c r="M24" s="55" t="str">
        <f t="shared" si="6"/>
        <v>ID</v>
      </c>
      <c r="N24" s="55" t="str">
        <f t="shared" si="7"/>
        <v>-</v>
      </c>
      <c r="O24" s="55" t="str">
        <f t="shared" si="8"/>
        <v>1</v>
      </c>
      <c r="P24" s="53" t="str">
        <f t="shared" si="9"/>
        <v>ID-1</v>
      </c>
      <c r="R24" s="51" t="s">
        <v>554</v>
      </c>
      <c r="S24" s="51" t="str">
        <f t="shared" si="10"/>
        <v>rohankumar</v>
      </c>
      <c r="T24" s="51" t="str">
        <f t="shared" si="11"/>
        <v>thebiman.com</v>
      </c>
      <c r="U24" s="51" t="str">
        <f t="shared" si="12"/>
        <v>rohankumar@thebiman.com</v>
      </c>
      <c r="V24" s="51"/>
      <c r="W24" s="53" t="s">
        <v>553</v>
      </c>
      <c r="X24" s="51" t="s">
        <v>351</v>
      </c>
      <c r="Y24" s="51" t="s">
        <v>716</v>
      </c>
      <c r="Z24" s="51" t="s">
        <v>553</v>
      </c>
    </row>
    <row r="25" spans="1:26" s="45" customFormat="1" ht="14.4">
      <c r="A25" s="53" t="s">
        <v>552</v>
      </c>
      <c r="B25" s="53" t="s">
        <v>81</v>
      </c>
      <c r="C25" s="53" t="s">
        <v>30</v>
      </c>
      <c r="D25" s="54">
        <v>44740</v>
      </c>
      <c r="E25" s="54" t="str">
        <f t="shared" si="0"/>
        <v>rohit jain</v>
      </c>
      <c r="F25" s="53" t="str">
        <f t="shared" si="1"/>
        <v>ROHIT JAIN</v>
      </c>
      <c r="G25" s="53" t="str">
        <f t="shared" si="2"/>
        <v>rohit jain</v>
      </c>
      <c r="H25" s="53" t="str">
        <f t="shared" si="3"/>
        <v>Rohit Jain</v>
      </c>
      <c r="I25" s="53" t="str">
        <f t="shared" si="4"/>
        <v>ED-00022</v>
      </c>
      <c r="J25" s="51"/>
      <c r="K25" s="53" t="s">
        <v>552</v>
      </c>
      <c r="L25" s="51">
        <f t="shared" si="5"/>
        <v>8</v>
      </c>
      <c r="M25" s="55" t="str">
        <f t="shared" si="6"/>
        <v>ID</v>
      </c>
      <c r="N25" s="55" t="str">
        <f t="shared" si="7"/>
        <v>-</v>
      </c>
      <c r="O25" s="55" t="str">
        <f t="shared" si="8"/>
        <v>2</v>
      </c>
      <c r="P25" s="53" t="str">
        <f t="shared" si="9"/>
        <v>ID-2</v>
      </c>
      <c r="R25" s="51" t="s">
        <v>551</v>
      </c>
      <c r="S25" s="51" t="str">
        <f t="shared" si="10"/>
        <v>rohitjain</v>
      </c>
      <c r="T25" s="51" t="str">
        <f t="shared" si="11"/>
        <v>thebiman.com</v>
      </c>
      <c r="U25" s="51" t="str">
        <f t="shared" si="12"/>
        <v>rohitjain@thebiman.com</v>
      </c>
      <c r="V25" s="51"/>
      <c r="W25" s="53" t="s">
        <v>550</v>
      </c>
      <c r="X25" s="51" t="s">
        <v>680</v>
      </c>
      <c r="Y25" s="51" t="s">
        <v>714</v>
      </c>
      <c r="Z25" s="51" t="s">
        <v>550</v>
      </c>
    </row>
    <row r="26" spans="1:26" s="45" customFormat="1" ht="14.4">
      <c r="A26" s="53" t="s">
        <v>549</v>
      </c>
      <c r="B26" s="53" t="s">
        <v>83</v>
      </c>
      <c r="C26" s="53" t="s">
        <v>34</v>
      </c>
      <c r="D26" s="54">
        <v>44435</v>
      </c>
      <c r="E26" s="54" t="str">
        <f t="shared" si="0"/>
        <v>aryan singh</v>
      </c>
      <c r="F26" s="53" t="str">
        <f t="shared" si="1"/>
        <v>ARYAN SINGH</v>
      </c>
      <c r="G26" s="53" t="str">
        <f t="shared" si="2"/>
        <v>aryan singh</v>
      </c>
      <c r="H26" s="53" t="str">
        <f t="shared" si="3"/>
        <v>Aryan Singh</v>
      </c>
      <c r="I26" s="53" t="str">
        <f t="shared" si="4"/>
        <v>ED-00023</v>
      </c>
      <c r="J26" s="51"/>
      <c r="K26" s="53" t="s">
        <v>549</v>
      </c>
      <c r="L26" s="51">
        <f t="shared" si="5"/>
        <v>8</v>
      </c>
      <c r="M26" s="55" t="str">
        <f t="shared" si="6"/>
        <v>ID</v>
      </c>
      <c r="N26" s="55" t="str">
        <f t="shared" si="7"/>
        <v>-</v>
      </c>
      <c r="O26" s="55" t="str">
        <f t="shared" si="8"/>
        <v>3</v>
      </c>
      <c r="P26" s="53" t="str">
        <f t="shared" si="9"/>
        <v>ID-3</v>
      </c>
      <c r="R26" s="51" t="s">
        <v>548</v>
      </c>
      <c r="S26" s="51" t="str">
        <f t="shared" si="10"/>
        <v>aryansingh</v>
      </c>
      <c r="T26" s="51" t="str">
        <f t="shared" si="11"/>
        <v>thebiman.com</v>
      </c>
      <c r="U26" s="51" t="str">
        <f t="shared" si="12"/>
        <v>aryansingh@thebiman.com</v>
      </c>
      <c r="V26" s="51"/>
      <c r="W26" s="53" t="s">
        <v>547</v>
      </c>
      <c r="X26" s="51" t="s">
        <v>688</v>
      </c>
      <c r="Y26" s="51" t="s">
        <v>711</v>
      </c>
      <c r="Z26" s="51" t="s">
        <v>547</v>
      </c>
    </row>
    <row r="27" spans="1:26" s="45" customFormat="1" ht="14.4">
      <c r="A27" s="53" t="s">
        <v>546</v>
      </c>
      <c r="B27" s="53" t="s">
        <v>85</v>
      </c>
      <c r="C27" s="53" t="s">
        <v>86</v>
      </c>
      <c r="D27" s="54">
        <v>44614</v>
      </c>
      <c r="E27" s="54" t="str">
        <f t="shared" si="0"/>
        <v>alok singh</v>
      </c>
      <c r="F27" s="53" t="str">
        <f t="shared" si="1"/>
        <v>ALOK SINGH</v>
      </c>
      <c r="G27" s="53" t="str">
        <f t="shared" si="2"/>
        <v>alok singh</v>
      </c>
      <c r="H27" s="53" t="str">
        <f t="shared" si="3"/>
        <v>Alok Singh</v>
      </c>
      <c r="I27" s="53" t="str">
        <f t="shared" si="4"/>
        <v>ED-00024</v>
      </c>
      <c r="J27" s="51"/>
      <c r="K27" s="53" t="s">
        <v>546</v>
      </c>
      <c r="L27" s="51">
        <f t="shared" si="5"/>
        <v>8</v>
      </c>
      <c r="M27" s="55" t="str">
        <f t="shared" si="6"/>
        <v>ID</v>
      </c>
      <c r="N27" s="55" t="str">
        <f t="shared" si="7"/>
        <v>-</v>
      </c>
      <c r="O27" s="55" t="str">
        <f t="shared" si="8"/>
        <v>4</v>
      </c>
      <c r="P27" s="53" t="str">
        <f t="shared" si="9"/>
        <v>ID-4</v>
      </c>
      <c r="R27" s="51" t="s">
        <v>545</v>
      </c>
      <c r="S27" s="51" t="str">
        <f t="shared" si="10"/>
        <v>aloksingh</v>
      </c>
      <c r="T27" s="51" t="str">
        <f t="shared" si="11"/>
        <v>thebiman.com</v>
      </c>
      <c r="U27" s="51" t="str">
        <f t="shared" si="12"/>
        <v>aloksingh@thebiman.com</v>
      </c>
      <c r="V27" s="51"/>
      <c r="W27" s="53" t="s">
        <v>544</v>
      </c>
      <c r="X27" s="51" t="s">
        <v>686</v>
      </c>
      <c r="Y27" s="51" t="s">
        <v>711</v>
      </c>
      <c r="Z27" s="51" t="s">
        <v>544</v>
      </c>
    </row>
    <row r="28" spans="1:26" s="45" customFormat="1" ht="14.4">
      <c r="A28" s="53" t="s">
        <v>543</v>
      </c>
      <c r="B28" s="53" t="s">
        <v>88</v>
      </c>
      <c r="C28" s="53" t="s">
        <v>86</v>
      </c>
      <c r="D28" s="54">
        <v>44389</v>
      </c>
      <c r="E28" s="54" t="str">
        <f t="shared" si="0"/>
        <v>deepak gulati</v>
      </c>
      <c r="F28" s="53" t="str">
        <f t="shared" si="1"/>
        <v>DEEPAK GULATI</v>
      </c>
      <c r="G28" s="53" t="str">
        <f t="shared" si="2"/>
        <v>deepak gulati</v>
      </c>
      <c r="H28" s="53" t="str">
        <f t="shared" si="3"/>
        <v>Deepak Gulati</v>
      </c>
      <c r="I28" s="53" t="str">
        <f t="shared" si="4"/>
        <v>ED-00025</v>
      </c>
      <c r="J28" s="51"/>
      <c r="K28" s="53" t="s">
        <v>543</v>
      </c>
      <c r="L28" s="51">
        <f t="shared" si="5"/>
        <v>8</v>
      </c>
      <c r="M28" s="55" t="str">
        <f t="shared" si="6"/>
        <v>ID</v>
      </c>
      <c r="N28" s="55" t="str">
        <f t="shared" si="7"/>
        <v>-</v>
      </c>
      <c r="O28" s="55" t="str">
        <f t="shared" si="8"/>
        <v>5</v>
      </c>
      <c r="P28" s="53" t="str">
        <f t="shared" si="9"/>
        <v>ID-5</v>
      </c>
      <c r="R28" s="51" t="s">
        <v>542</v>
      </c>
      <c r="S28" s="51" t="str">
        <f t="shared" si="10"/>
        <v>deepakgulati</v>
      </c>
      <c r="T28" s="51" t="str">
        <f t="shared" si="11"/>
        <v>thebiman.com</v>
      </c>
      <c r="U28" s="51" t="str">
        <f t="shared" si="12"/>
        <v>deepakgulati@thebiman.com</v>
      </c>
      <c r="V28" s="51"/>
      <c r="W28" s="53" t="s">
        <v>541</v>
      </c>
      <c r="X28" s="51" t="s">
        <v>677</v>
      </c>
      <c r="Y28" s="51" t="s">
        <v>712</v>
      </c>
      <c r="Z28" s="51" t="s">
        <v>541</v>
      </c>
    </row>
    <row r="29" spans="1:26" s="45" customFormat="1" ht="14.4">
      <c r="A29" s="53" t="s">
        <v>540</v>
      </c>
      <c r="B29" s="53" t="s">
        <v>90</v>
      </c>
      <c r="C29" s="53" t="s">
        <v>86</v>
      </c>
      <c r="D29" s="54">
        <v>44743</v>
      </c>
      <c r="E29" s="54" t="str">
        <f t="shared" si="0"/>
        <v>sameer roy</v>
      </c>
      <c r="F29" s="53" t="str">
        <f t="shared" si="1"/>
        <v>SAMEER ROY</v>
      </c>
      <c r="G29" s="53" t="str">
        <f t="shared" si="2"/>
        <v>sameer roy</v>
      </c>
      <c r="H29" s="53" t="str">
        <f t="shared" si="3"/>
        <v>Sameer Roy</v>
      </c>
      <c r="I29" s="53" t="str">
        <f t="shared" si="4"/>
        <v>ED-00026</v>
      </c>
      <c r="J29" s="51"/>
      <c r="K29" s="53" t="s">
        <v>540</v>
      </c>
      <c r="L29" s="51">
        <f t="shared" si="5"/>
        <v>8</v>
      </c>
      <c r="M29" s="55" t="str">
        <f t="shared" si="6"/>
        <v>ID</v>
      </c>
      <c r="N29" s="55" t="str">
        <f t="shared" si="7"/>
        <v>-</v>
      </c>
      <c r="O29" s="55" t="str">
        <f t="shared" si="8"/>
        <v>6</v>
      </c>
      <c r="P29" s="53" t="str">
        <f t="shared" si="9"/>
        <v>ID-6</v>
      </c>
      <c r="R29" s="51" t="s">
        <v>539</v>
      </c>
      <c r="S29" s="51" t="str">
        <f t="shared" si="10"/>
        <v>sameerroy</v>
      </c>
      <c r="T29" s="51" t="str">
        <f t="shared" si="11"/>
        <v>thebiman.com</v>
      </c>
      <c r="U29" s="51" t="str">
        <f t="shared" si="12"/>
        <v>sameerroy@thebiman.com</v>
      </c>
      <c r="V29" s="51"/>
      <c r="W29" s="53" t="s">
        <v>538</v>
      </c>
      <c r="X29" s="51" t="s">
        <v>689</v>
      </c>
      <c r="Y29" s="51" t="s">
        <v>706</v>
      </c>
      <c r="Z29" s="51" t="s">
        <v>538</v>
      </c>
    </row>
    <row r="30" spans="1:26" s="45" customFormat="1" ht="14.4">
      <c r="A30" s="53" t="s">
        <v>537</v>
      </c>
      <c r="B30" s="53" t="s">
        <v>73</v>
      </c>
      <c r="C30" s="53" t="s">
        <v>86</v>
      </c>
      <c r="D30" s="54">
        <v>44646</v>
      </c>
      <c r="E30" s="54" t="str">
        <f t="shared" si="0"/>
        <v>manav verma</v>
      </c>
      <c r="F30" s="53" t="str">
        <f t="shared" si="1"/>
        <v>MANAV VERMA</v>
      </c>
      <c r="G30" s="53" t="str">
        <f t="shared" si="2"/>
        <v>manav verma</v>
      </c>
      <c r="H30" s="53" t="str">
        <f t="shared" si="3"/>
        <v>Manav Verma</v>
      </c>
      <c r="I30" s="53" t="str">
        <f t="shared" si="4"/>
        <v>ED-00027</v>
      </c>
      <c r="J30" s="51"/>
      <c r="K30" s="53" t="s">
        <v>537</v>
      </c>
      <c r="L30" s="51">
        <f t="shared" si="5"/>
        <v>8</v>
      </c>
      <c r="M30" s="55" t="str">
        <f t="shared" si="6"/>
        <v>ID</v>
      </c>
      <c r="N30" s="55" t="str">
        <f t="shared" si="7"/>
        <v>-</v>
      </c>
      <c r="O30" s="55" t="str">
        <f t="shared" si="8"/>
        <v>7</v>
      </c>
      <c r="P30" s="53" t="str">
        <f t="shared" si="9"/>
        <v>ID-7</v>
      </c>
      <c r="R30" s="51" t="s">
        <v>536</v>
      </c>
      <c r="S30" s="51" t="str">
        <f t="shared" si="10"/>
        <v>manavverma</v>
      </c>
      <c r="T30" s="51" t="str">
        <f t="shared" si="11"/>
        <v>thebiman.com</v>
      </c>
      <c r="U30" s="51" t="str">
        <f t="shared" si="12"/>
        <v>manavverma@thebiman.com</v>
      </c>
      <c r="V30" s="51"/>
      <c r="W30" s="53" t="s">
        <v>535</v>
      </c>
      <c r="X30" s="51" t="s">
        <v>685</v>
      </c>
      <c r="Y30" s="51" t="s">
        <v>707</v>
      </c>
      <c r="Z30" s="51" t="s">
        <v>535</v>
      </c>
    </row>
    <row r="31" spans="1:26" s="45" customFormat="1" ht="14.4">
      <c r="A31" s="53" t="s">
        <v>533</v>
      </c>
      <c r="B31" s="53" t="s">
        <v>534</v>
      </c>
      <c r="C31" s="53" t="s">
        <v>86</v>
      </c>
      <c r="D31" s="54">
        <v>44397</v>
      </c>
      <c r="E31" s="54" t="str">
        <f t="shared" si="0"/>
        <v>IDter verma</v>
      </c>
      <c r="F31" s="53" t="str">
        <f t="shared" si="1"/>
        <v>IDTER VERMA</v>
      </c>
      <c r="G31" s="53" t="str">
        <f t="shared" si="2"/>
        <v>idter verma</v>
      </c>
      <c r="H31" s="53" t="str">
        <f t="shared" si="3"/>
        <v>Idter Verma</v>
      </c>
      <c r="I31" s="53" t="str">
        <f t="shared" si="4"/>
        <v>ED-00028</v>
      </c>
      <c r="J31" s="51"/>
      <c r="K31" s="53" t="s">
        <v>533</v>
      </c>
      <c r="L31" s="51">
        <f t="shared" si="5"/>
        <v>8</v>
      </c>
      <c r="M31" s="55" t="str">
        <f t="shared" si="6"/>
        <v>ID</v>
      </c>
      <c r="N31" s="55" t="str">
        <f t="shared" si="7"/>
        <v>-</v>
      </c>
      <c r="O31" s="55" t="str">
        <f t="shared" si="8"/>
        <v>8</v>
      </c>
      <c r="P31" s="53" t="str">
        <f t="shared" si="9"/>
        <v>ID-8</v>
      </c>
      <c r="R31" s="51" t="s">
        <v>532</v>
      </c>
      <c r="S31" s="51" t="str">
        <f t="shared" si="10"/>
        <v>IDterverma</v>
      </c>
      <c r="T31" s="51" t="str">
        <f t="shared" si="11"/>
        <v>thebiman.com</v>
      </c>
      <c r="U31" s="51" t="str">
        <f t="shared" si="12"/>
        <v>IDterverma@thebiman.com</v>
      </c>
      <c r="V31" s="51"/>
      <c r="W31" s="53" t="s">
        <v>531</v>
      </c>
      <c r="X31" s="51" t="s">
        <v>681</v>
      </c>
      <c r="Y31" s="51" t="s">
        <v>707</v>
      </c>
      <c r="Z31" s="51" t="s">
        <v>531</v>
      </c>
    </row>
    <row r="32" spans="1:26" s="45" customFormat="1" ht="14.4">
      <c r="A32" s="53" t="s">
        <v>530</v>
      </c>
      <c r="B32" s="53" t="s">
        <v>95</v>
      </c>
      <c r="C32" s="53" t="s">
        <v>86</v>
      </c>
      <c r="D32" s="54">
        <v>44300</v>
      </c>
      <c r="E32" s="54" t="str">
        <f t="shared" si="0"/>
        <v>juhi verma</v>
      </c>
      <c r="F32" s="53" t="str">
        <f t="shared" si="1"/>
        <v>JUHI VERMA</v>
      </c>
      <c r="G32" s="53" t="str">
        <f t="shared" si="2"/>
        <v>juhi verma</v>
      </c>
      <c r="H32" s="53" t="str">
        <f t="shared" si="3"/>
        <v>Juhi Verma</v>
      </c>
      <c r="I32" s="53" t="str">
        <f t="shared" si="4"/>
        <v>ED-00029</v>
      </c>
      <c r="J32" s="51"/>
      <c r="K32" s="53" t="s">
        <v>530</v>
      </c>
      <c r="L32" s="51">
        <f t="shared" si="5"/>
        <v>8</v>
      </c>
      <c r="M32" s="55" t="str">
        <f t="shared" si="6"/>
        <v>ID</v>
      </c>
      <c r="N32" s="55" t="str">
        <f t="shared" si="7"/>
        <v>-</v>
      </c>
      <c r="O32" s="55" t="str">
        <f t="shared" si="8"/>
        <v>9</v>
      </c>
      <c r="P32" s="53" t="str">
        <f t="shared" si="9"/>
        <v>ID-9</v>
      </c>
      <c r="R32" s="51" t="s">
        <v>529</v>
      </c>
      <c r="S32" s="51" t="str">
        <f t="shared" si="10"/>
        <v>juhiverma</v>
      </c>
      <c r="T32" s="51" t="str">
        <f t="shared" si="11"/>
        <v>thebiman.com</v>
      </c>
      <c r="U32" s="51" t="str">
        <f t="shared" si="12"/>
        <v>juhiverma@thebiman.com</v>
      </c>
      <c r="V32" s="51"/>
      <c r="W32" s="53" t="s">
        <v>528</v>
      </c>
      <c r="X32" s="51" t="s">
        <v>682</v>
      </c>
      <c r="Y32" s="51" t="s">
        <v>707</v>
      </c>
      <c r="Z32" s="51" t="s">
        <v>528</v>
      </c>
    </row>
    <row r="33" spans="1:26" s="45" customFormat="1" ht="14.4">
      <c r="A33" s="53" t="s">
        <v>527</v>
      </c>
      <c r="B33" s="53" t="s">
        <v>97</v>
      </c>
      <c r="C33" s="53" t="s">
        <v>65</v>
      </c>
      <c r="D33" s="54">
        <v>44860</v>
      </c>
      <c r="E33" s="54" t="str">
        <f t="shared" si="0"/>
        <v>deep singh</v>
      </c>
      <c r="F33" s="53" t="str">
        <f t="shared" si="1"/>
        <v>DEEP SINGH</v>
      </c>
      <c r="G33" s="53" t="str">
        <f t="shared" si="2"/>
        <v>deep singh</v>
      </c>
      <c r="H33" s="53" t="str">
        <f t="shared" si="3"/>
        <v>Deep Singh</v>
      </c>
      <c r="I33" s="53" t="str">
        <f t="shared" si="4"/>
        <v>ED-00030</v>
      </c>
      <c r="J33" s="51"/>
      <c r="K33" s="53" t="s">
        <v>527</v>
      </c>
      <c r="L33" s="51">
        <f t="shared" si="5"/>
        <v>8</v>
      </c>
      <c r="M33" s="55" t="str">
        <f t="shared" si="6"/>
        <v>ID</v>
      </c>
      <c r="N33" s="55" t="str">
        <f t="shared" si="7"/>
        <v>-</v>
      </c>
      <c r="O33" s="55" t="str">
        <f t="shared" si="8"/>
        <v>0</v>
      </c>
      <c r="P33" s="53" t="str">
        <f t="shared" si="9"/>
        <v>ID-0</v>
      </c>
      <c r="R33" s="51" t="s">
        <v>526</v>
      </c>
      <c r="S33" s="51" t="str">
        <f t="shared" si="10"/>
        <v>deepsingh</v>
      </c>
      <c r="T33" s="51" t="str">
        <f t="shared" si="11"/>
        <v>thebiman.com</v>
      </c>
      <c r="U33" s="51" t="str">
        <f t="shared" si="12"/>
        <v>deepsingh@thebiman.com</v>
      </c>
      <c r="V33" s="51"/>
      <c r="W33" s="53" t="s">
        <v>525</v>
      </c>
      <c r="X33" s="51" t="s">
        <v>690</v>
      </c>
      <c r="Y33" s="51" t="s">
        <v>711</v>
      </c>
      <c r="Z33" s="51" t="s">
        <v>525</v>
      </c>
    </row>
    <row r="34" spans="1:26" s="45" customFormat="1" ht="14.4">
      <c r="A34" s="53" t="s">
        <v>524</v>
      </c>
      <c r="B34" s="53" t="s">
        <v>99</v>
      </c>
      <c r="C34" s="53" t="s">
        <v>65</v>
      </c>
      <c r="D34" s="54">
        <v>44386</v>
      </c>
      <c r="E34" s="54" t="str">
        <f t="shared" si="0"/>
        <v>swati suneja</v>
      </c>
      <c r="F34" s="53" t="str">
        <f t="shared" si="1"/>
        <v>SWATI SUNEJA</v>
      </c>
      <c r="G34" s="53" t="str">
        <f t="shared" si="2"/>
        <v>swati suneja</v>
      </c>
      <c r="H34" s="53" t="str">
        <f t="shared" si="3"/>
        <v>Swati Suneja</v>
      </c>
      <c r="I34" s="53" t="str">
        <f t="shared" si="4"/>
        <v>ED-00031</v>
      </c>
      <c r="J34" s="51"/>
      <c r="K34" s="53" t="s">
        <v>524</v>
      </c>
      <c r="L34" s="51">
        <f t="shared" si="5"/>
        <v>8</v>
      </c>
      <c r="M34" s="55" t="str">
        <f t="shared" si="6"/>
        <v>ID</v>
      </c>
      <c r="N34" s="55" t="str">
        <f t="shared" si="7"/>
        <v>-</v>
      </c>
      <c r="O34" s="55" t="str">
        <f t="shared" si="8"/>
        <v>1</v>
      </c>
      <c r="P34" s="53" t="str">
        <f t="shared" si="9"/>
        <v>ID-1</v>
      </c>
      <c r="R34" s="51" t="s">
        <v>523</v>
      </c>
      <c r="S34" s="51" t="str">
        <f t="shared" si="10"/>
        <v>swatisuneja</v>
      </c>
      <c r="T34" s="51" t="str">
        <f t="shared" si="11"/>
        <v>thebiman.com</v>
      </c>
      <c r="U34" s="51" t="str">
        <f t="shared" si="12"/>
        <v>swatisuneja@thebiman.com</v>
      </c>
      <c r="V34" s="51"/>
      <c r="W34" s="53" t="s">
        <v>522</v>
      </c>
      <c r="X34" s="51" t="s">
        <v>691</v>
      </c>
      <c r="Y34" s="51" t="s">
        <v>717</v>
      </c>
      <c r="Z34" s="51" t="s">
        <v>522</v>
      </c>
    </row>
    <row r="35" spans="1:26" s="45" customFormat="1" ht="14.4">
      <c r="A35" s="53" t="s">
        <v>521</v>
      </c>
      <c r="B35" s="53" t="s">
        <v>101</v>
      </c>
      <c r="C35" s="53" t="s">
        <v>58</v>
      </c>
      <c r="D35" s="54">
        <v>44895</v>
      </c>
      <c r="E35" s="54" t="str">
        <f t="shared" si="0"/>
        <v>mayank jain</v>
      </c>
      <c r="F35" s="53" t="str">
        <f t="shared" si="1"/>
        <v>MAYANK JAIN</v>
      </c>
      <c r="G35" s="53" t="str">
        <f t="shared" si="2"/>
        <v>mayank jain</v>
      </c>
      <c r="H35" s="53" t="str">
        <f t="shared" si="3"/>
        <v>Mayank Jain</v>
      </c>
      <c r="I35" s="53" t="str">
        <f t="shared" si="4"/>
        <v>ED-00032</v>
      </c>
      <c r="J35" s="51"/>
      <c r="K35" s="53" t="s">
        <v>521</v>
      </c>
      <c r="L35" s="51">
        <f t="shared" si="5"/>
        <v>8</v>
      </c>
      <c r="M35" s="55" t="str">
        <f t="shared" si="6"/>
        <v>ID</v>
      </c>
      <c r="N35" s="55" t="str">
        <f t="shared" si="7"/>
        <v>-</v>
      </c>
      <c r="O35" s="55" t="str">
        <f t="shared" si="8"/>
        <v>2</v>
      </c>
      <c r="P35" s="53" t="str">
        <f t="shared" si="9"/>
        <v>ID-2</v>
      </c>
      <c r="R35" s="51" t="s">
        <v>520</v>
      </c>
      <c r="S35" s="51" t="str">
        <f t="shared" si="10"/>
        <v>mayankjain</v>
      </c>
      <c r="T35" s="51" t="str">
        <f t="shared" si="11"/>
        <v>thebiman.com</v>
      </c>
      <c r="U35" s="51" t="str">
        <f t="shared" si="12"/>
        <v>mayankjain@thebiman.com</v>
      </c>
      <c r="V35" s="51"/>
      <c r="W35" s="53" t="s">
        <v>519</v>
      </c>
      <c r="X35" s="51" t="s">
        <v>692</v>
      </c>
      <c r="Y35" s="51" t="s">
        <v>714</v>
      </c>
      <c r="Z35" s="51" t="s">
        <v>519</v>
      </c>
    </row>
    <row r="36" spans="1:26" s="45" customFormat="1" ht="14.4">
      <c r="A36" s="53" t="s">
        <v>518</v>
      </c>
      <c r="B36" s="53" t="s">
        <v>103</v>
      </c>
      <c r="C36" s="53" t="s">
        <v>34</v>
      </c>
      <c r="D36" s="54">
        <v>44515</v>
      </c>
      <c r="E36" s="54" t="str">
        <f t="shared" si="0"/>
        <v>sophia roy</v>
      </c>
      <c r="F36" s="53" t="str">
        <f t="shared" si="1"/>
        <v>SOPHIA ROY</v>
      </c>
      <c r="G36" s="53" t="str">
        <f t="shared" si="2"/>
        <v>sophia roy</v>
      </c>
      <c r="H36" s="53" t="str">
        <f t="shared" si="3"/>
        <v>Sophia Roy</v>
      </c>
      <c r="I36" s="53" t="str">
        <f t="shared" si="4"/>
        <v>ED-00033</v>
      </c>
      <c r="J36" s="51"/>
      <c r="K36" s="53" t="s">
        <v>518</v>
      </c>
      <c r="L36" s="51">
        <f t="shared" si="5"/>
        <v>8</v>
      </c>
      <c r="M36" s="55" t="str">
        <f t="shared" si="6"/>
        <v>ID</v>
      </c>
      <c r="N36" s="55" t="str">
        <f t="shared" si="7"/>
        <v>-</v>
      </c>
      <c r="O36" s="55" t="str">
        <f t="shared" si="8"/>
        <v>3</v>
      </c>
      <c r="P36" s="53" t="str">
        <f t="shared" si="9"/>
        <v>ID-3</v>
      </c>
      <c r="R36" s="51" t="s">
        <v>517</v>
      </c>
      <c r="S36" s="51" t="str">
        <f t="shared" si="10"/>
        <v>sophiaroy</v>
      </c>
      <c r="T36" s="51" t="str">
        <f t="shared" si="11"/>
        <v>thebiman.com</v>
      </c>
      <c r="U36" s="51" t="str">
        <f t="shared" si="12"/>
        <v>sophiaroy@thebiman.com</v>
      </c>
      <c r="V36" s="51"/>
      <c r="W36" s="53" t="s">
        <v>516</v>
      </c>
      <c r="X36" s="51" t="s">
        <v>693</v>
      </c>
      <c r="Y36" s="51" t="s">
        <v>706</v>
      </c>
      <c r="Z36" s="51" t="s">
        <v>516</v>
      </c>
    </row>
    <row r="37" spans="1:26" s="45" customFormat="1" ht="14.4">
      <c r="A37" s="53" t="s">
        <v>515</v>
      </c>
      <c r="B37" s="53" t="s">
        <v>105</v>
      </c>
      <c r="C37" s="53" t="s">
        <v>30</v>
      </c>
      <c r="D37" s="54">
        <v>44777</v>
      </c>
      <c r="E37" s="54" t="str">
        <f t="shared" si="0"/>
        <v>tarun verma</v>
      </c>
      <c r="F37" s="53" t="str">
        <f t="shared" si="1"/>
        <v>TARUN VERMA</v>
      </c>
      <c r="G37" s="53" t="str">
        <f t="shared" si="2"/>
        <v>tarun verma</v>
      </c>
      <c r="H37" s="53" t="str">
        <f t="shared" si="3"/>
        <v>Tarun Verma</v>
      </c>
      <c r="I37" s="53" t="str">
        <f t="shared" si="4"/>
        <v>ED-00034</v>
      </c>
      <c r="J37" s="51"/>
      <c r="K37" s="53" t="s">
        <v>515</v>
      </c>
      <c r="L37" s="51">
        <f t="shared" si="5"/>
        <v>8</v>
      </c>
      <c r="M37" s="55" t="str">
        <f t="shared" si="6"/>
        <v>ID</v>
      </c>
      <c r="N37" s="55" t="str">
        <f t="shared" si="7"/>
        <v>-</v>
      </c>
      <c r="O37" s="55" t="str">
        <f t="shared" si="8"/>
        <v>4</v>
      </c>
      <c r="P37" s="53" t="str">
        <f t="shared" si="9"/>
        <v>ID-4</v>
      </c>
      <c r="R37" s="51" t="s">
        <v>514</v>
      </c>
      <c r="S37" s="51" t="str">
        <f t="shared" si="10"/>
        <v>tarunverma</v>
      </c>
      <c r="T37" s="51" t="str">
        <f t="shared" si="11"/>
        <v>thebiman.com</v>
      </c>
      <c r="U37" s="51" t="str">
        <f t="shared" si="12"/>
        <v>tarunverma@thebiman.com</v>
      </c>
      <c r="V37" s="51"/>
      <c r="W37" s="53" t="s">
        <v>513</v>
      </c>
      <c r="X37" s="51" t="s">
        <v>694</v>
      </c>
      <c r="Y37" s="51" t="s">
        <v>707</v>
      </c>
      <c r="Z37" s="51" t="s">
        <v>513</v>
      </c>
    </row>
    <row r="38" spans="1:26" s="45" customFormat="1" ht="14.4">
      <c r="A38" s="53" t="s">
        <v>512</v>
      </c>
      <c r="B38" s="53" t="s">
        <v>107</v>
      </c>
      <c r="C38" s="53" t="s">
        <v>30</v>
      </c>
      <c r="D38" s="54">
        <v>44393</v>
      </c>
      <c r="E38" s="54" t="str">
        <f t="shared" si="0"/>
        <v>manish sharma</v>
      </c>
      <c r="F38" s="53" t="str">
        <f t="shared" si="1"/>
        <v>MANISH SHARMA</v>
      </c>
      <c r="G38" s="53" t="str">
        <f t="shared" si="2"/>
        <v>manish sharma</v>
      </c>
      <c r="H38" s="53" t="str">
        <f t="shared" si="3"/>
        <v>Manish Sharma</v>
      </c>
      <c r="I38" s="53" t="str">
        <f t="shared" si="4"/>
        <v>ED-00035</v>
      </c>
      <c r="J38" s="51"/>
      <c r="K38" s="53" t="s">
        <v>512</v>
      </c>
      <c r="L38" s="51">
        <f t="shared" si="5"/>
        <v>8</v>
      </c>
      <c r="M38" s="55" t="str">
        <f t="shared" si="6"/>
        <v>ID</v>
      </c>
      <c r="N38" s="55" t="str">
        <f t="shared" si="7"/>
        <v>-</v>
      </c>
      <c r="O38" s="55" t="str">
        <f t="shared" si="8"/>
        <v>5</v>
      </c>
      <c r="P38" s="53" t="str">
        <f t="shared" si="9"/>
        <v>ID-5</v>
      </c>
      <c r="R38" s="51" t="s">
        <v>511</v>
      </c>
      <c r="S38" s="51" t="str">
        <f t="shared" si="10"/>
        <v>manishsharma</v>
      </c>
      <c r="T38" s="51" t="str">
        <f t="shared" si="11"/>
        <v>thebiman.com</v>
      </c>
      <c r="U38" s="51" t="str">
        <f t="shared" si="12"/>
        <v>manishsharma@thebiman.com</v>
      </c>
      <c r="V38" s="51"/>
      <c r="W38" s="53" t="s">
        <v>510</v>
      </c>
      <c r="X38" s="51" t="s">
        <v>695</v>
      </c>
      <c r="Y38" s="51" t="s">
        <v>708</v>
      </c>
      <c r="Z38" s="51" t="s">
        <v>510</v>
      </c>
    </row>
    <row r="39" spans="1:26" s="45" customFormat="1" ht="14.4">
      <c r="A39" s="53" t="s">
        <v>509</v>
      </c>
      <c r="B39" s="53" t="s">
        <v>109</v>
      </c>
      <c r="C39" s="53" t="s">
        <v>30</v>
      </c>
      <c r="D39" s="54">
        <v>44753</v>
      </c>
      <c r="E39" s="54" t="str">
        <f t="shared" si="0"/>
        <v>maneesh verma</v>
      </c>
      <c r="F39" s="53" t="str">
        <f t="shared" si="1"/>
        <v>MANEESH VERMA</v>
      </c>
      <c r="G39" s="53" t="str">
        <f t="shared" si="2"/>
        <v>maneesh verma</v>
      </c>
      <c r="H39" s="53" t="str">
        <f t="shared" si="3"/>
        <v>Maneesh Verma</v>
      </c>
      <c r="I39" s="53" t="str">
        <f t="shared" si="4"/>
        <v>ED-00036</v>
      </c>
      <c r="J39" s="51"/>
      <c r="K39" s="53" t="s">
        <v>509</v>
      </c>
      <c r="L39" s="51">
        <f t="shared" si="5"/>
        <v>8</v>
      </c>
      <c r="M39" s="55" t="str">
        <f t="shared" si="6"/>
        <v>ID</v>
      </c>
      <c r="N39" s="55" t="str">
        <f t="shared" si="7"/>
        <v>-</v>
      </c>
      <c r="O39" s="55" t="str">
        <f t="shared" si="8"/>
        <v>6</v>
      </c>
      <c r="P39" s="53" t="str">
        <f t="shared" si="9"/>
        <v>ID-6</v>
      </c>
      <c r="R39" s="51" t="s">
        <v>508</v>
      </c>
      <c r="S39" s="51" t="str">
        <f t="shared" si="10"/>
        <v>maneeshverma</v>
      </c>
      <c r="T39" s="51" t="str">
        <f t="shared" si="11"/>
        <v>thebiman.com</v>
      </c>
      <c r="U39" s="51" t="str">
        <f t="shared" si="12"/>
        <v>maneeshverma@thebiman.com</v>
      </c>
      <c r="V39" s="51"/>
      <c r="W39" s="53" t="s">
        <v>507</v>
      </c>
      <c r="X39" s="51" t="s">
        <v>170</v>
      </c>
      <c r="Y39" s="51" t="s">
        <v>707</v>
      </c>
      <c r="Z39" s="51" t="s">
        <v>507</v>
      </c>
    </row>
    <row r="40" spans="1:26" s="45" customFormat="1" ht="14.4">
      <c r="A40" s="53" t="s">
        <v>506</v>
      </c>
      <c r="B40" s="53" t="s">
        <v>111</v>
      </c>
      <c r="C40" s="53" t="s">
        <v>38</v>
      </c>
      <c r="D40" s="54">
        <v>44418</v>
      </c>
      <c r="E40" s="54" t="str">
        <f t="shared" si="0"/>
        <v>nitin gupta</v>
      </c>
      <c r="F40" s="53" t="str">
        <f t="shared" si="1"/>
        <v>NITIN GUPTA</v>
      </c>
      <c r="G40" s="53" t="str">
        <f t="shared" si="2"/>
        <v>nitin gupta</v>
      </c>
      <c r="H40" s="53" t="str">
        <f t="shared" si="3"/>
        <v>Nitin Gupta</v>
      </c>
      <c r="I40" s="53" t="str">
        <f t="shared" si="4"/>
        <v>ED-00037</v>
      </c>
      <c r="J40" s="51"/>
      <c r="K40" s="53" t="s">
        <v>506</v>
      </c>
      <c r="L40" s="51">
        <f t="shared" si="5"/>
        <v>8</v>
      </c>
      <c r="M40" s="55" t="str">
        <f t="shared" si="6"/>
        <v>ID</v>
      </c>
      <c r="N40" s="55" t="str">
        <f t="shared" si="7"/>
        <v>-</v>
      </c>
      <c r="O40" s="55" t="str">
        <f t="shared" si="8"/>
        <v>7</v>
      </c>
      <c r="P40" s="53" t="str">
        <f t="shared" si="9"/>
        <v>ID-7</v>
      </c>
      <c r="R40" s="51" t="s">
        <v>505</v>
      </c>
      <c r="S40" s="51" t="str">
        <f t="shared" si="10"/>
        <v>nitingupta</v>
      </c>
      <c r="T40" s="51" t="str">
        <f t="shared" si="11"/>
        <v>thebiman.com</v>
      </c>
      <c r="U40" s="51" t="str">
        <f t="shared" si="12"/>
        <v>nitingupta@thebiman.com</v>
      </c>
      <c r="V40" s="51"/>
      <c r="W40" s="53" t="s">
        <v>504</v>
      </c>
      <c r="X40" s="51" t="s">
        <v>696</v>
      </c>
      <c r="Y40" s="51" t="s">
        <v>715</v>
      </c>
      <c r="Z40" s="51" t="s">
        <v>504</v>
      </c>
    </row>
    <row r="41" spans="1:26" s="45" customFormat="1" ht="14.4">
      <c r="A41" s="53" t="s">
        <v>503</v>
      </c>
      <c r="B41" s="53" t="s">
        <v>113</v>
      </c>
      <c r="C41" s="53" t="s">
        <v>38</v>
      </c>
      <c r="D41" s="54">
        <v>44351</v>
      </c>
      <c r="E41" s="54" t="str">
        <f t="shared" si="0"/>
        <v>depanshu gupta</v>
      </c>
      <c r="F41" s="53" t="str">
        <f t="shared" si="1"/>
        <v>DEPANSHU GUPTA</v>
      </c>
      <c r="G41" s="53" t="str">
        <f t="shared" si="2"/>
        <v>depanshu gupta</v>
      </c>
      <c r="H41" s="53" t="str">
        <f t="shared" si="3"/>
        <v>Depanshu Gupta</v>
      </c>
      <c r="I41" s="53" t="str">
        <f t="shared" si="4"/>
        <v>ED-00038</v>
      </c>
      <c r="J41" s="51"/>
      <c r="K41" s="53" t="s">
        <v>503</v>
      </c>
      <c r="L41" s="51">
        <f t="shared" si="5"/>
        <v>8</v>
      </c>
      <c r="M41" s="55" t="str">
        <f t="shared" si="6"/>
        <v>ID</v>
      </c>
      <c r="N41" s="55" t="str">
        <f t="shared" si="7"/>
        <v>-</v>
      </c>
      <c r="O41" s="55" t="str">
        <f t="shared" si="8"/>
        <v>8</v>
      </c>
      <c r="P41" s="53" t="str">
        <f t="shared" si="9"/>
        <v>ID-8</v>
      </c>
      <c r="R41" s="51" t="s">
        <v>502</v>
      </c>
      <c r="S41" s="51" t="str">
        <f t="shared" si="10"/>
        <v>depanshugupta</v>
      </c>
      <c r="T41" s="51" t="str">
        <f t="shared" si="11"/>
        <v>thebiman.com</v>
      </c>
      <c r="U41" s="51" t="str">
        <f t="shared" si="12"/>
        <v>depanshugupta@thebiman.com</v>
      </c>
      <c r="V41" s="51"/>
      <c r="W41" s="53" t="s">
        <v>501</v>
      </c>
      <c r="X41" s="51" t="s">
        <v>697</v>
      </c>
      <c r="Y41" s="51" t="s">
        <v>715</v>
      </c>
      <c r="Z41" s="51" t="s">
        <v>501</v>
      </c>
    </row>
    <row r="42" spans="1:26" s="45" customFormat="1" ht="14.4">
      <c r="A42" s="53" t="s">
        <v>500</v>
      </c>
      <c r="B42" s="53" t="s">
        <v>115</v>
      </c>
      <c r="C42" s="53" t="s">
        <v>38</v>
      </c>
      <c r="D42" s="54">
        <v>44840</v>
      </c>
      <c r="E42" s="54" t="str">
        <f t="shared" si="0"/>
        <v>keshav verma</v>
      </c>
      <c r="F42" s="53" t="str">
        <f t="shared" si="1"/>
        <v>KESHAV VERMA</v>
      </c>
      <c r="G42" s="53" t="str">
        <f t="shared" si="2"/>
        <v>keshav verma</v>
      </c>
      <c r="H42" s="53" t="str">
        <f t="shared" si="3"/>
        <v>Keshav Verma</v>
      </c>
      <c r="I42" s="53" t="str">
        <f t="shared" si="4"/>
        <v>ED-00039</v>
      </c>
      <c r="J42" s="51"/>
      <c r="K42" s="53" t="s">
        <v>500</v>
      </c>
      <c r="L42" s="51">
        <f t="shared" si="5"/>
        <v>8</v>
      </c>
      <c r="M42" s="55" t="str">
        <f t="shared" si="6"/>
        <v>ID</v>
      </c>
      <c r="N42" s="55" t="str">
        <f t="shared" si="7"/>
        <v>-</v>
      </c>
      <c r="O42" s="55" t="str">
        <f t="shared" si="8"/>
        <v>9</v>
      </c>
      <c r="P42" s="53" t="str">
        <f t="shared" si="9"/>
        <v>ID-9</v>
      </c>
      <c r="R42" s="51" t="s">
        <v>499</v>
      </c>
      <c r="S42" s="51" t="str">
        <f t="shared" si="10"/>
        <v>keshavverma</v>
      </c>
      <c r="T42" s="51" t="str">
        <f t="shared" si="11"/>
        <v>thebiman.com</v>
      </c>
      <c r="U42" s="51" t="str">
        <f t="shared" si="12"/>
        <v>keshavverma@thebiman.com</v>
      </c>
      <c r="V42" s="51"/>
      <c r="W42" s="53" t="s">
        <v>498</v>
      </c>
      <c r="X42" s="51" t="s">
        <v>698</v>
      </c>
      <c r="Y42" s="51" t="s">
        <v>707</v>
      </c>
      <c r="Z42" s="51" t="s">
        <v>498</v>
      </c>
    </row>
    <row r="43" spans="1:26" s="45" customFormat="1" ht="14.4">
      <c r="A43" s="53" t="s">
        <v>497</v>
      </c>
      <c r="B43" s="53" t="s">
        <v>117</v>
      </c>
      <c r="C43" s="53" t="s">
        <v>38</v>
      </c>
      <c r="D43" s="54">
        <v>44726</v>
      </c>
      <c r="E43" s="54" t="str">
        <f t="shared" si="0"/>
        <v>keshav singh</v>
      </c>
      <c r="F43" s="53" t="str">
        <f t="shared" si="1"/>
        <v>KESHAV SINGH</v>
      </c>
      <c r="G43" s="53" t="str">
        <f t="shared" si="2"/>
        <v>keshav singh</v>
      </c>
      <c r="H43" s="53" t="str">
        <f t="shared" si="3"/>
        <v>Keshav Singh</v>
      </c>
      <c r="I43" s="53" t="str">
        <f t="shared" si="4"/>
        <v>ED-00040</v>
      </c>
      <c r="J43" s="51"/>
      <c r="K43" s="53" t="s">
        <v>497</v>
      </c>
      <c r="L43" s="51">
        <f t="shared" si="5"/>
        <v>8</v>
      </c>
      <c r="M43" s="55" t="str">
        <f t="shared" si="6"/>
        <v>ID</v>
      </c>
      <c r="N43" s="55" t="str">
        <f t="shared" si="7"/>
        <v>-</v>
      </c>
      <c r="O43" s="55" t="str">
        <f t="shared" si="8"/>
        <v>0</v>
      </c>
      <c r="P43" s="53" t="str">
        <f t="shared" si="9"/>
        <v>ID-0</v>
      </c>
      <c r="R43" s="51" t="s">
        <v>496</v>
      </c>
      <c r="S43" s="51" t="str">
        <f t="shared" si="10"/>
        <v>keshavsingh</v>
      </c>
      <c r="T43" s="51" t="str">
        <f t="shared" si="11"/>
        <v>thebiman.com</v>
      </c>
      <c r="U43" s="51" t="str">
        <f t="shared" si="12"/>
        <v>keshavsingh@thebiman.com</v>
      </c>
      <c r="V43" s="51"/>
      <c r="W43" s="53" t="s">
        <v>495</v>
      </c>
      <c r="X43" s="51" t="s">
        <v>698</v>
      </c>
      <c r="Y43" s="51" t="s">
        <v>711</v>
      </c>
      <c r="Z43" s="51" t="s">
        <v>495</v>
      </c>
    </row>
    <row r="44" spans="1:26" s="45" customFormat="1" ht="14.4">
      <c r="A44" s="53" t="s">
        <v>494</v>
      </c>
      <c r="B44" s="53" t="s">
        <v>119</v>
      </c>
      <c r="C44" s="53" t="s">
        <v>38</v>
      </c>
      <c r="D44" s="54">
        <v>44737</v>
      </c>
      <c r="E44" s="54" t="str">
        <f t="shared" si="0"/>
        <v>gaurav jain</v>
      </c>
      <c r="F44" s="53" t="str">
        <f t="shared" si="1"/>
        <v>GAURAV JAIN</v>
      </c>
      <c r="G44" s="53" t="str">
        <f t="shared" si="2"/>
        <v>gaurav jain</v>
      </c>
      <c r="H44" s="53" t="str">
        <f t="shared" si="3"/>
        <v>Gaurav Jain</v>
      </c>
      <c r="I44" s="53" t="str">
        <f t="shared" si="4"/>
        <v>ED-00041</v>
      </c>
      <c r="J44" s="51"/>
      <c r="K44" s="53" t="s">
        <v>494</v>
      </c>
      <c r="L44" s="51">
        <f t="shared" si="5"/>
        <v>8</v>
      </c>
      <c r="M44" s="55" t="str">
        <f t="shared" si="6"/>
        <v>ID</v>
      </c>
      <c r="N44" s="55" t="str">
        <f t="shared" si="7"/>
        <v>-</v>
      </c>
      <c r="O44" s="55" t="str">
        <f t="shared" si="8"/>
        <v>1</v>
      </c>
      <c r="P44" s="53" t="str">
        <f t="shared" si="9"/>
        <v>ID-1</v>
      </c>
      <c r="R44" s="51" t="s">
        <v>493</v>
      </c>
      <c r="S44" s="51" t="str">
        <f t="shared" si="10"/>
        <v>gauravjain</v>
      </c>
      <c r="T44" s="51" t="str">
        <f t="shared" si="11"/>
        <v>thebiman.com</v>
      </c>
      <c r="U44" s="51" t="str">
        <f t="shared" si="12"/>
        <v>gauravjain@thebiman.com</v>
      </c>
      <c r="V44" s="51"/>
      <c r="W44" s="53" t="s">
        <v>492</v>
      </c>
      <c r="X44" s="51" t="s">
        <v>699</v>
      </c>
      <c r="Y44" s="51" t="s">
        <v>714</v>
      </c>
      <c r="Z44" s="51" t="s">
        <v>492</v>
      </c>
    </row>
    <row r="45" spans="1:26" s="45" customFormat="1" ht="14.4">
      <c r="A45" s="53" t="s">
        <v>491</v>
      </c>
      <c r="B45" s="53" t="s">
        <v>121</v>
      </c>
      <c r="C45" s="53" t="s">
        <v>86</v>
      </c>
      <c r="D45" s="54">
        <v>44382</v>
      </c>
      <c r="E45" s="54" t="str">
        <f t="shared" si="0"/>
        <v>ankit singh</v>
      </c>
      <c r="F45" s="53" t="str">
        <f t="shared" si="1"/>
        <v>ANKIT SINGH</v>
      </c>
      <c r="G45" s="53" t="str">
        <f t="shared" si="2"/>
        <v>ankit singh</v>
      </c>
      <c r="H45" s="53" t="str">
        <f t="shared" si="3"/>
        <v>Ankit Singh</v>
      </c>
      <c r="I45" s="53" t="str">
        <f t="shared" si="4"/>
        <v>ED-00042</v>
      </c>
      <c r="J45" s="51"/>
      <c r="K45" s="53" t="s">
        <v>491</v>
      </c>
      <c r="L45" s="51">
        <f t="shared" si="5"/>
        <v>8</v>
      </c>
      <c r="M45" s="55" t="str">
        <f t="shared" si="6"/>
        <v>ID</v>
      </c>
      <c r="N45" s="55" t="str">
        <f t="shared" si="7"/>
        <v>-</v>
      </c>
      <c r="O45" s="55" t="str">
        <f t="shared" si="8"/>
        <v>2</v>
      </c>
      <c r="P45" s="53" t="str">
        <f t="shared" si="9"/>
        <v>ID-2</v>
      </c>
      <c r="R45" s="51" t="s">
        <v>490</v>
      </c>
      <c r="S45" s="51" t="str">
        <f t="shared" si="10"/>
        <v>ankitsingh</v>
      </c>
      <c r="T45" s="51" t="str">
        <f t="shared" si="11"/>
        <v>thebiman.com</v>
      </c>
      <c r="U45" s="51" t="str">
        <f t="shared" si="12"/>
        <v>ankitsingh@thebiman.com</v>
      </c>
      <c r="V45" s="51"/>
      <c r="W45" s="53" t="s">
        <v>489</v>
      </c>
      <c r="X45" s="51" t="s">
        <v>700</v>
      </c>
      <c r="Y45" s="51" t="s">
        <v>711</v>
      </c>
      <c r="Z45" s="51" t="s">
        <v>489</v>
      </c>
    </row>
    <row r="46" spans="1:26" s="45" customFormat="1" ht="14.4">
      <c r="A46" s="53" t="s">
        <v>488</v>
      </c>
      <c r="B46" s="53" t="s">
        <v>123</v>
      </c>
      <c r="C46" s="53" t="s">
        <v>86</v>
      </c>
      <c r="D46" s="54">
        <v>44682</v>
      </c>
      <c r="E46" s="54" t="str">
        <f t="shared" si="0"/>
        <v>divya mehra</v>
      </c>
      <c r="F46" s="53" t="str">
        <f t="shared" si="1"/>
        <v>DIVYA MEHRA</v>
      </c>
      <c r="G46" s="53" t="str">
        <f t="shared" si="2"/>
        <v>divya mehra</v>
      </c>
      <c r="H46" s="53" t="str">
        <f t="shared" si="3"/>
        <v>Divya Mehra</v>
      </c>
      <c r="I46" s="53" t="str">
        <f t="shared" si="4"/>
        <v>ED-00043</v>
      </c>
      <c r="J46" s="51"/>
      <c r="K46" s="53" t="s">
        <v>488</v>
      </c>
      <c r="L46" s="51">
        <f t="shared" si="5"/>
        <v>8</v>
      </c>
      <c r="M46" s="55" t="str">
        <f t="shared" si="6"/>
        <v>ID</v>
      </c>
      <c r="N46" s="55" t="str">
        <f t="shared" si="7"/>
        <v>-</v>
      </c>
      <c r="O46" s="55" t="str">
        <f t="shared" si="8"/>
        <v>3</v>
      </c>
      <c r="P46" s="53" t="str">
        <f t="shared" si="9"/>
        <v>ID-3</v>
      </c>
      <c r="R46" s="51" t="s">
        <v>487</v>
      </c>
      <c r="S46" s="51" t="str">
        <f t="shared" si="10"/>
        <v>divyamehra</v>
      </c>
      <c r="T46" s="51" t="str">
        <f t="shared" si="11"/>
        <v>thebiman.com</v>
      </c>
      <c r="U46" s="51" t="str">
        <f t="shared" si="12"/>
        <v>divyamehra@thebiman.com</v>
      </c>
      <c r="V46" s="51"/>
      <c r="W46" s="53" t="s">
        <v>486</v>
      </c>
      <c r="X46" s="51" t="s">
        <v>701</v>
      </c>
      <c r="Y46" s="51" t="s">
        <v>710</v>
      </c>
      <c r="Z46" s="51" t="s">
        <v>486</v>
      </c>
    </row>
    <row r="47" spans="1:26" s="45" customFormat="1" ht="14.4">
      <c r="A47" s="53" t="s">
        <v>485</v>
      </c>
      <c r="B47" s="53" t="s">
        <v>125</v>
      </c>
      <c r="C47" s="53" t="s">
        <v>86</v>
      </c>
      <c r="D47" s="54">
        <v>44496</v>
      </c>
      <c r="E47" s="54" t="str">
        <f t="shared" si="0"/>
        <v>sonia jain</v>
      </c>
      <c r="F47" s="53" t="str">
        <f t="shared" si="1"/>
        <v>SONIA JAIN</v>
      </c>
      <c r="G47" s="53" t="str">
        <f t="shared" si="2"/>
        <v>sonia jain</v>
      </c>
      <c r="H47" s="53" t="str">
        <f t="shared" si="3"/>
        <v>Sonia Jain</v>
      </c>
      <c r="I47" s="53" t="str">
        <f t="shared" si="4"/>
        <v>ED-00044</v>
      </c>
      <c r="J47" s="51"/>
      <c r="K47" s="53" t="s">
        <v>485</v>
      </c>
      <c r="L47" s="51">
        <f t="shared" si="5"/>
        <v>8</v>
      </c>
      <c r="M47" s="55" t="str">
        <f t="shared" si="6"/>
        <v>ID</v>
      </c>
      <c r="N47" s="55" t="str">
        <f t="shared" si="7"/>
        <v>-</v>
      </c>
      <c r="O47" s="55" t="str">
        <f t="shared" si="8"/>
        <v>4</v>
      </c>
      <c r="P47" s="53" t="str">
        <f t="shared" si="9"/>
        <v>ID-4</v>
      </c>
      <c r="R47" s="51" t="s">
        <v>484</v>
      </c>
      <c r="S47" s="51" t="str">
        <f t="shared" si="10"/>
        <v>soniajain</v>
      </c>
      <c r="T47" s="51" t="str">
        <f t="shared" si="11"/>
        <v>thebiman.com</v>
      </c>
      <c r="U47" s="51" t="str">
        <f t="shared" si="12"/>
        <v>soniajain@thebiman.com</v>
      </c>
      <c r="V47" s="51"/>
      <c r="W47" s="53" t="s">
        <v>483</v>
      </c>
      <c r="X47" s="51" t="s">
        <v>702</v>
      </c>
      <c r="Y47" s="51" t="s">
        <v>714</v>
      </c>
      <c r="Z47" s="51" t="s">
        <v>483</v>
      </c>
    </row>
    <row r="48" spans="1:26" s="45" customFormat="1" ht="14.4">
      <c r="A48" s="53" t="s">
        <v>482</v>
      </c>
      <c r="B48" s="53" t="s">
        <v>127</v>
      </c>
      <c r="C48" s="53" t="s">
        <v>86</v>
      </c>
      <c r="D48" s="54">
        <v>44561</v>
      </c>
      <c r="E48" s="54" t="str">
        <f t="shared" si="0"/>
        <v>sonia roy</v>
      </c>
      <c r="F48" s="53" t="str">
        <f t="shared" si="1"/>
        <v>SONIA ROY</v>
      </c>
      <c r="G48" s="53" t="str">
        <f t="shared" si="2"/>
        <v>sonia roy</v>
      </c>
      <c r="H48" s="53" t="str">
        <f t="shared" si="3"/>
        <v>Sonia Roy</v>
      </c>
      <c r="I48" s="53" t="str">
        <f t="shared" si="4"/>
        <v>ED-00045</v>
      </c>
      <c r="J48" s="51"/>
      <c r="K48" s="53" t="s">
        <v>482</v>
      </c>
      <c r="L48" s="51">
        <f t="shared" si="5"/>
        <v>8</v>
      </c>
      <c r="M48" s="55" t="str">
        <f t="shared" si="6"/>
        <v>ID</v>
      </c>
      <c r="N48" s="55" t="str">
        <f t="shared" si="7"/>
        <v>-</v>
      </c>
      <c r="O48" s="55" t="str">
        <f t="shared" si="8"/>
        <v>5</v>
      </c>
      <c r="P48" s="53" t="str">
        <f t="shared" si="9"/>
        <v>ID-5</v>
      </c>
      <c r="R48" s="51" t="s">
        <v>481</v>
      </c>
      <c r="S48" s="51" t="str">
        <f t="shared" si="10"/>
        <v>soniaroy</v>
      </c>
      <c r="T48" s="51" t="str">
        <f t="shared" si="11"/>
        <v>thebiman.com</v>
      </c>
      <c r="U48" s="51" t="str">
        <f t="shared" si="12"/>
        <v>soniaroy@thebiman.com</v>
      </c>
      <c r="V48" s="51"/>
      <c r="W48" s="53" t="s">
        <v>480</v>
      </c>
      <c r="X48" s="51" t="s">
        <v>702</v>
      </c>
      <c r="Y48" s="51" t="s">
        <v>706</v>
      </c>
      <c r="Z48" s="51" t="s">
        <v>480</v>
      </c>
    </row>
    <row r="49" spans="1:26" s="45" customFormat="1" ht="14.4">
      <c r="A49" s="53" t="s">
        <v>479</v>
      </c>
      <c r="B49" s="53" t="s">
        <v>129</v>
      </c>
      <c r="C49" s="53" t="s">
        <v>130</v>
      </c>
      <c r="D49" s="54">
        <v>44552</v>
      </c>
      <c r="E49" s="54" t="str">
        <f t="shared" si="0"/>
        <v>ruhi mehra</v>
      </c>
      <c r="F49" s="53" t="str">
        <f t="shared" si="1"/>
        <v>RUHI MEHRA</v>
      </c>
      <c r="G49" s="53" t="str">
        <f t="shared" si="2"/>
        <v>ruhi mehra</v>
      </c>
      <c r="H49" s="53" t="str">
        <f t="shared" si="3"/>
        <v>Ruhi Mehra</v>
      </c>
      <c r="I49" s="53" t="str">
        <f t="shared" si="4"/>
        <v>ED-00046</v>
      </c>
      <c r="J49" s="51"/>
      <c r="K49" s="53" t="s">
        <v>479</v>
      </c>
      <c r="L49" s="51">
        <f t="shared" si="5"/>
        <v>8</v>
      </c>
      <c r="M49" s="55" t="str">
        <f t="shared" si="6"/>
        <v>ID</v>
      </c>
      <c r="N49" s="55" t="str">
        <f t="shared" si="7"/>
        <v>-</v>
      </c>
      <c r="O49" s="55" t="str">
        <f t="shared" si="8"/>
        <v>6</v>
      </c>
      <c r="P49" s="53" t="str">
        <f t="shared" si="9"/>
        <v>ID-6</v>
      </c>
      <c r="R49" s="51" t="s">
        <v>478</v>
      </c>
      <c r="S49" s="51" t="str">
        <f t="shared" si="10"/>
        <v>ruhimehra</v>
      </c>
      <c r="T49" s="51" t="str">
        <f t="shared" si="11"/>
        <v>thebiman.com</v>
      </c>
      <c r="U49" s="51" t="str">
        <f t="shared" si="12"/>
        <v>ruhimehra@thebiman.com</v>
      </c>
      <c r="V49" s="51"/>
      <c r="W49" s="53" t="s">
        <v>477</v>
      </c>
      <c r="X49" s="51" t="s">
        <v>703</v>
      </c>
      <c r="Y49" s="51" t="s">
        <v>710</v>
      </c>
      <c r="Z49" s="51" t="s">
        <v>477</v>
      </c>
    </row>
    <row r="50" spans="1:26" s="45" customFormat="1" ht="14.4">
      <c r="A50" s="53" t="s">
        <v>476</v>
      </c>
      <c r="B50" s="53" t="s">
        <v>132</v>
      </c>
      <c r="C50" s="53" t="s">
        <v>130</v>
      </c>
      <c r="D50" s="54">
        <v>44477</v>
      </c>
      <c r="E50" s="54" t="str">
        <f t="shared" si="0"/>
        <v>jasmine sharma</v>
      </c>
      <c r="F50" s="53" t="str">
        <f t="shared" si="1"/>
        <v>JASMINE SHARMA</v>
      </c>
      <c r="G50" s="53" t="str">
        <f t="shared" si="2"/>
        <v>jasmine sharma</v>
      </c>
      <c r="H50" s="53" t="str">
        <f t="shared" si="3"/>
        <v>Jasmine Sharma</v>
      </c>
      <c r="I50" s="53" t="str">
        <f t="shared" si="4"/>
        <v>ED-00047</v>
      </c>
      <c r="J50" s="51"/>
      <c r="K50" s="53" t="s">
        <v>476</v>
      </c>
      <c r="L50" s="51">
        <f t="shared" si="5"/>
        <v>8</v>
      </c>
      <c r="M50" s="55" t="str">
        <f t="shared" si="6"/>
        <v>ID</v>
      </c>
      <c r="N50" s="55" t="str">
        <f t="shared" si="7"/>
        <v>-</v>
      </c>
      <c r="O50" s="55" t="str">
        <f t="shared" si="8"/>
        <v>7</v>
      </c>
      <c r="P50" s="53" t="str">
        <f t="shared" si="9"/>
        <v>ID-7</v>
      </c>
      <c r="R50" s="51" t="s">
        <v>475</v>
      </c>
      <c r="S50" s="51" t="str">
        <f t="shared" si="10"/>
        <v>jasminesharma</v>
      </c>
      <c r="T50" s="51" t="str">
        <f t="shared" si="11"/>
        <v>thebiman.com</v>
      </c>
      <c r="U50" s="51" t="str">
        <f t="shared" si="12"/>
        <v>jasminesharma@thebiman.com</v>
      </c>
      <c r="V50" s="51"/>
      <c r="W50" s="53" t="s">
        <v>474</v>
      </c>
      <c r="X50" s="51" t="s">
        <v>704</v>
      </c>
      <c r="Y50" s="51" t="s">
        <v>708</v>
      </c>
      <c r="Z50" s="51" t="s">
        <v>474</v>
      </c>
    </row>
    <row r="51" spans="1:26" s="45" customFormat="1" ht="14.4">
      <c r="A51" s="53" t="s">
        <v>473</v>
      </c>
      <c r="B51" s="53" t="s">
        <v>134</v>
      </c>
      <c r="C51" s="53" t="s">
        <v>130</v>
      </c>
      <c r="D51" s="54">
        <v>44472</v>
      </c>
      <c r="E51" s="54" t="str">
        <f t="shared" si="0"/>
        <v>sahil roy</v>
      </c>
      <c r="F51" s="53" t="str">
        <f t="shared" si="1"/>
        <v>SAHIL ROY</v>
      </c>
      <c r="G51" s="53" t="str">
        <f t="shared" si="2"/>
        <v>sahil roy</v>
      </c>
      <c r="H51" s="53" t="str">
        <f t="shared" si="3"/>
        <v>Sahil Roy</v>
      </c>
      <c r="I51" s="53" t="str">
        <f t="shared" si="4"/>
        <v>ED-00048</v>
      </c>
      <c r="J51" s="51"/>
      <c r="K51" s="53" t="s">
        <v>473</v>
      </c>
      <c r="L51" s="51">
        <f t="shared" si="5"/>
        <v>8</v>
      </c>
      <c r="M51" s="55" t="str">
        <f t="shared" si="6"/>
        <v>ID</v>
      </c>
      <c r="N51" s="55" t="str">
        <f t="shared" si="7"/>
        <v>-</v>
      </c>
      <c r="O51" s="55" t="str">
        <f t="shared" si="8"/>
        <v>8</v>
      </c>
      <c r="P51" s="53" t="str">
        <f t="shared" si="9"/>
        <v>ID-8</v>
      </c>
      <c r="R51" s="51" t="s">
        <v>472</v>
      </c>
      <c r="S51" s="51" t="str">
        <f t="shared" si="10"/>
        <v>sahilroy</v>
      </c>
      <c r="T51" s="51" t="str">
        <f t="shared" si="11"/>
        <v>thebiman.com</v>
      </c>
      <c r="U51" s="51" t="str">
        <f t="shared" si="12"/>
        <v>sahilroy@thebiman.com</v>
      </c>
      <c r="V51" s="51"/>
      <c r="W51" s="53" t="s">
        <v>471</v>
      </c>
      <c r="X51" s="51" t="s">
        <v>705</v>
      </c>
      <c r="Y51" s="51" t="s">
        <v>706</v>
      </c>
      <c r="Z51" s="51" t="s">
        <v>471</v>
      </c>
    </row>
    <row r="52" spans="1:26" s="45" customFormat="1" ht="14.4">
      <c r="A52" s="53" t="s">
        <v>470</v>
      </c>
      <c r="B52" s="53" t="s">
        <v>136</v>
      </c>
      <c r="C52" s="53" t="s">
        <v>130</v>
      </c>
      <c r="D52" s="54">
        <v>44301</v>
      </c>
      <c r="E52" s="54" t="str">
        <f t="shared" si="0"/>
        <v>Aakash</v>
      </c>
      <c r="F52" s="53" t="str">
        <f t="shared" si="1"/>
        <v>AAKASH</v>
      </c>
      <c r="G52" s="53" t="str">
        <f t="shared" si="2"/>
        <v>aakash</v>
      </c>
      <c r="H52" s="53" t="str">
        <f t="shared" si="3"/>
        <v>Aakash</v>
      </c>
      <c r="I52" s="53" t="str">
        <f t="shared" si="4"/>
        <v>ED-00049</v>
      </c>
      <c r="K52" s="53" t="s">
        <v>470</v>
      </c>
      <c r="L52" s="51">
        <f t="shared" si="5"/>
        <v>8</v>
      </c>
      <c r="M52" s="55" t="str">
        <f t="shared" si="6"/>
        <v>ID</v>
      </c>
      <c r="N52" s="55" t="str">
        <f t="shared" si="7"/>
        <v>-</v>
      </c>
      <c r="O52" s="55" t="str">
        <f t="shared" si="8"/>
        <v>9</v>
      </c>
      <c r="P52" s="53" t="str">
        <f t="shared" si="9"/>
        <v>ID-9</v>
      </c>
    </row>
    <row r="53" spans="1:26" s="45" customFormat="1" ht="14.4">
      <c r="A53" s="53" t="s">
        <v>469</v>
      </c>
      <c r="B53" s="53" t="s">
        <v>138</v>
      </c>
      <c r="C53" s="53" t="s">
        <v>65</v>
      </c>
      <c r="D53" s="54">
        <v>44607</v>
      </c>
      <c r="E53" s="54" t="str">
        <f t="shared" si="0"/>
        <v>Madhur</v>
      </c>
      <c r="F53" s="53" t="str">
        <f t="shared" si="1"/>
        <v>MADHUR</v>
      </c>
      <c r="G53" s="53" t="str">
        <f t="shared" si="2"/>
        <v>madhur</v>
      </c>
      <c r="H53" s="53" t="str">
        <f t="shared" si="3"/>
        <v>Madhur</v>
      </c>
      <c r="I53" s="53" t="str">
        <f t="shared" si="4"/>
        <v>ED-00050</v>
      </c>
      <c r="K53" s="53" t="s">
        <v>469</v>
      </c>
      <c r="L53" s="51">
        <f t="shared" si="5"/>
        <v>8</v>
      </c>
      <c r="M53" s="55" t="str">
        <f t="shared" si="6"/>
        <v>ID</v>
      </c>
      <c r="N53" s="55" t="str">
        <f t="shared" si="7"/>
        <v>-</v>
      </c>
      <c r="O53" s="55" t="str">
        <f t="shared" si="8"/>
        <v>0</v>
      </c>
      <c r="P53" s="53" t="str">
        <f t="shared" si="9"/>
        <v>ID-0</v>
      </c>
    </row>
    <row r="54" spans="1:26" s="45" customFormat="1" ht="14.4">
      <c r="A54" s="53" t="s">
        <v>468</v>
      </c>
      <c r="B54" s="53" t="s">
        <v>140</v>
      </c>
      <c r="C54" s="53" t="s">
        <v>65</v>
      </c>
      <c r="D54" s="54">
        <v>44489</v>
      </c>
      <c r="E54" s="54" t="str">
        <f t="shared" si="0"/>
        <v>Mohit</v>
      </c>
      <c r="F54" s="53" t="str">
        <f t="shared" si="1"/>
        <v>MOHIT</v>
      </c>
      <c r="G54" s="53" t="str">
        <f t="shared" si="2"/>
        <v>mohit</v>
      </c>
      <c r="H54" s="53" t="str">
        <f t="shared" si="3"/>
        <v>Mohit</v>
      </c>
      <c r="I54" s="53" t="str">
        <f t="shared" si="4"/>
        <v>ED-00051</v>
      </c>
      <c r="K54" s="53" t="s">
        <v>468</v>
      </c>
      <c r="L54" s="51">
        <f t="shared" si="5"/>
        <v>8</v>
      </c>
      <c r="M54" s="55" t="str">
        <f t="shared" si="6"/>
        <v>ID</v>
      </c>
      <c r="N54" s="55" t="str">
        <f t="shared" si="7"/>
        <v>-</v>
      </c>
      <c r="O54" s="55" t="str">
        <f t="shared" si="8"/>
        <v>1</v>
      </c>
      <c r="P54" s="53" t="str">
        <f t="shared" si="9"/>
        <v>ID-1</v>
      </c>
    </row>
    <row r="55" spans="1:26" s="45" customFormat="1" ht="14.4">
      <c r="A55" s="53" t="s">
        <v>467</v>
      </c>
      <c r="B55" s="53" t="s">
        <v>142</v>
      </c>
      <c r="C55" s="53" t="s">
        <v>65</v>
      </c>
      <c r="D55" s="54">
        <v>44618</v>
      </c>
      <c r="E55" s="54" t="str">
        <f t="shared" si="0"/>
        <v>Vikrant</v>
      </c>
      <c r="F55" s="53" t="str">
        <f t="shared" si="1"/>
        <v>VIKRANT</v>
      </c>
      <c r="G55" s="53" t="str">
        <f t="shared" si="2"/>
        <v>vikrant</v>
      </c>
      <c r="H55" s="53" t="str">
        <f t="shared" si="3"/>
        <v>Vikrant</v>
      </c>
      <c r="I55" s="53" t="str">
        <f t="shared" si="4"/>
        <v>ED-00052</v>
      </c>
      <c r="K55" s="53" t="s">
        <v>467</v>
      </c>
      <c r="L55" s="51">
        <f t="shared" si="5"/>
        <v>8</v>
      </c>
      <c r="M55" s="55" t="str">
        <f t="shared" si="6"/>
        <v>ID</v>
      </c>
      <c r="N55" s="55" t="str">
        <f t="shared" si="7"/>
        <v>-</v>
      </c>
      <c r="O55" s="55" t="str">
        <f t="shared" si="8"/>
        <v>2</v>
      </c>
      <c r="P55" s="53" t="str">
        <f t="shared" si="9"/>
        <v>ID-2</v>
      </c>
    </row>
    <row r="56" spans="1:26" s="45" customFormat="1" ht="14.4">
      <c r="A56" s="53" t="s">
        <v>466</v>
      </c>
      <c r="B56" s="53" t="s">
        <v>144</v>
      </c>
      <c r="C56" s="53" t="s">
        <v>58</v>
      </c>
      <c r="D56" s="54">
        <v>44959</v>
      </c>
      <c r="E56" s="54" t="str">
        <f t="shared" si="0"/>
        <v>Abhijeet</v>
      </c>
      <c r="F56" s="53" t="str">
        <f t="shared" si="1"/>
        <v>ABHIJEET</v>
      </c>
      <c r="G56" s="53" t="str">
        <f t="shared" si="2"/>
        <v>abhijeet</v>
      </c>
      <c r="H56" s="53" t="str">
        <f t="shared" si="3"/>
        <v>Abhijeet</v>
      </c>
      <c r="I56" s="53" t="str">
        <f t="shared" si="4"/>
        <v>ED-00053</v>
      </c>
      <c r="K56" s="53" t="s">
        <v>466</v>
      </c>
      <c r="L56" s="51">
        <f t="shared" si="5"/>
        <v>8</v>
      </c>
      <c r="M56" s="55" t="str">
        <f t="shared" si="6"/>
        <v>ID</v>
      </c>
      <c r="N56" s="55" t="str">
        <f t="shared" si="7"/>
        <v>-</v>
      </c>
      <c r="O56" s="55" t="str">
        <f t="shared" si="8"/>
        <v>3</v>
      </c>
      <c r="P56" s="53" t="str">
        <f t="shared" si="9"/>
        <v>ID-3</v>
      </c>
      <c r="R56" s="51" t="s">
        <v>587</v>
      </c>
    </row>
    <row r="57" spans="1:26" s="45" customFormat="1" ht="14.4">
      <c r="A57" s="53" t="s">
        <v>465</v>
      </c>
      <c r="B57" s="53" t="s">
        <v>146</v>
      </c>
      <c r="C57" s="53" t="s">
        <v>58</v>
      </c>
      <c r="D57" s="54">
        <v>44375</v>
      </c>
      <c r="E57" s="54" t="str">
        <f t="shared" si="0"/>
        <v>Atika</v>
      </c>
      <c r="F57" s="53" t="str">
        <f t="shared" si="1"/>
        <v>ATIKA</v>
      </c>
      <c r="G57" s="53" t="str">
        <f t="shared" si="2"/>
        <v>atika</v>
      </c>
      <c r="H57" s="53" t="str">
        <f t="shared" si="3"/>
        <v>Atika</v>
      </c>
      <c r="I57" s="53" t="str">
        <f t="shared" si="4"/>
        <v>ED-00054</v>
      </c>
      <c r="K57" s="53" t="s">
        <v>465</v>
      </c>
      <c r="L57" s="51">
        <f t="shared" si="5"/>
        <v>8</v>
      </c>
      <c r="M57" s="55" t="str">
        <f t="shared" si="6"/>
        <v>ID</v>
      </c>
      <c r="N57" s="55" t="str">
        <f t="shared" si="7"/>
        <v>-</v>
      </c>
      <c r="O57" s="55" t="str">
        <f t="shared" si="8"/>
        <v>4</v>
      </c>
      <c r="P57" s="53" t="str">
        <f t="shared" si="9"/>
        <v>ID-4</v>
      </c>
    </row>
    <row r="58" spans="1:26" s="45" customFormat="1" ht="14.4">
      <c r="A58" s="53" t="s">
        <v>464</v>
      </c>
      <c r="B58" s="53" t="s">
        <v>148</v>
      </c>
      <c r="C58" s="53" t="s">
        <v>58</v>
      </c>
      <c r="D58" s="54">
        <v>44802</v>
      </c>
      <c r="E58" s="54" t="str">
        <f t="shared" si="0"/>
        <v>Sunny</v>
      </c>
      <c r="F58" s="53" t="str">
        <f t="shared" si="1"/>
        <v>SUNNY</v>
      </c>
      <c r="G58" s="53" t="str">
        <f t="shared" si="2"/>
        <v>sunny</v>
      </c>
      <c r="H58" s="53" t="str">
        <f t="shared" si="3"/>
        <v>Sunny</v>
      </c>
      <c r="I58" s="53" t="str">
        <f t="shared" si="4"/>
        <v>ED-00055</v>
      </c>
      <c r="K58" s="53" t="s">
        <v>464</v>
      </c>
      <c r="L58" s="51">
        <f t="shared" si="5"/>
        <v>8</v>
      </c>
      <c r="M58" s="55" t="str">
        <f t="shared" si="6"/>
        <v>ID</v>
      </c>
      <c r="N58" s="55" t="str">
        <f t="shared" si="7"/>
        <v>-</v>
      </c>
      <c r="O58" s="55" t="str">
        <f t="shared" si="8"/>
        <v>5</v>
      </c>
      <c r="P58" s="53" t="str">
        <f t="shared" si="9"/>
        <v>ID-5</v>
      </c>
      <c r="R58" s="45" t="str">
        <f>UPPER("texttocolumn")</f>
        <v>TEXTTOCOLUMN</v>
      </c>
      <c r="S58" s="45" t="s">
        <v>674</v>
      </c>
      <c r="T58" s="45" t="s">
        <v>675</v>
      </c>
    </row>
    <row r="59" spans="1:26" s="45" customFormat="1" ht="14.4">
      <c r="A59" s="53" t="s">
        <v>463</v>
      </c>
      <c r="B59" s="53" t="s">
        <v>150</v>
      </c>
      <c r="C59" s="53" t="s">
        <v>30</v>
      </c>
      <c r="D59" s="54">
        <v>44880</v>
      </c>
      <c r="E59" s="54" t="str">
        <f t="shared" si="0"/>
        <v>Anamika</v>
      </c>
      <c r="F59" s="53" t="str">
        <f t="shared" si="1"/>
        <v>ANAMIKA</v>
      </c>
      <c r="G59" s="53" t="str">
        <f t="shared" si="2"/>
        <v>anamika</v>
      </c>
      <c r="H59" s="53" t="str">
        <f t="shared" si="3"/>
        <v>Anamika</v>
      </c>
      <c r="I59" s="53" t="str">
        <f t="shared" si="4"/>
        <v>ED-00056</v>
      </c>
      <c r="K59" s="53" t="s">
        <v>463</v>
      </c>
      <c r="L59" s="51">
        <f t="shared" si="5"/>
        <v>8</v>
      </c>
      <c r="M59" s="55" t="str">
        <f t="shared" si="6"/>
        <v>ID</v>
      </c>
      <c r="N59" s="55" t="str">
        <f t="shared" si="7"/>
        <v>-</v>
      </c>
      <c r="O59" s="55" t="str">
        <f t="shared" si="8"/>
        <v>6</v>
      </c>
      <c r="P59" s="53" t="str">
        <f t="shared" si="9"/>
        <v>ID-6</v>
      </c>
    </row>
    <row r="60" spans="1:26" s="45" customFormat="1" ht="14.4">
      <c r="A60" s="53" t="s">
        <v>462</v>
      </c>
      <c r="B60" s="53" t="s">
        <v>152</v>
      </c>
      <c r="C60" s="53" t="s">
        <v>30</v>
      </c>
      <c r="D60" s="54">
        <v>44993</v>
      </c>
      <c r="E60" s="54" t="str">
        <f t="shared" si="0"/>
        <v>Priyanka</v>
      </c>
      <c r="F60" s="53" t="str">
        <f t="shared" si="1"/>
        <v>PRIYANKA</v>
      </c>
      <c r="G60" s="53" t="str">
        <f t="shared" si="2"/>
        <v>priyanka</v>
      </c>
      <c r="H60" s="53" t="str">
        <f t="shared" si="3"/>
        <v>Priyanka</v>
      </c>
      <c r="I60" s="53" t="str">
        <f t="shared" si="4"/>
        <v>ED-00057</v>
      </c>
      <c r="K60" s="53" t="s">
        <v>462</v>
      </c>
      <c r="L60" s="51">
        <f t="shared" si="5"/>
        <v>8</v>
      </c>
      <c r="M60" s="55" t="str">
        <f t="shared" si="6"/>
        <v>ID</v>
      </c>
      <c r="N60" s="55" t="str">
        <f t="shared" si="7"/>
        <v>-</v>
      </c>
      <c r="O60" s="55" t="str">
        <f t="shared" si="8"/>
        <v>7</v>
      </c>
      <c r="P60" s="53" t="str">
        <f t="shared" si="9"/>
        <v>ID-7</v>
      </c>
    </row>
    <row r="61" spans="1:26" s="45" customFormat="1" ht="14.4">
      <c r="A61" s="53" t="s">
        <v>461</v>
      </c>
      <c r="B61" s="53" t="s">
        <v>154</v>
      </c>
      <c r="C61" s="53" t="s">
        <v>30</v>
      </c>
      <c r="D61" s="54">
        <v>44357</v>
      </c>
      <c r="E61" s="54" t="str">
        <f t="shared" si="0"/>
        <v>Anisha</v>
      </c>
      <c r="F61" s="53" t="str">
        <f t="shared" si="1"/>
        <v>ANISHA</v>
      </c>
      <c r="G61" s="53" t="str">
        <f t="shared" si="2"/>
        <v>anisha</v>
      </c>
      <c r="H61" s="53" t="str">
        <f t="shared" si="3"/>
        <v>Anisha</v>
      </c>
      <c r="I61" s="53" t="str">
        <f t="shared" si="4"/>
        <v>ED-00058</v>
      </c>
      <c r="K61" s="53" t="s">
        <v>461</v>
      </c>
      <c r="L61" s="51">
        <f t="shared" si="5"/>
        <v>8</v>
      </c>
      <c r="M61" s="55" t="str">
        <f t="shared" si="6"/>
        <v>ID</v>
      </c>
      <c r="N61" s="55" t="str">
        <f t="shared" si="7"/>
        <v>-</v>
      </c>
      <c r="O61" s="55" t="str">
        <f t="shared" si="8"/>
        <v>8</v>
      </c>
      <c r="P61" s="53" t="str">
        <f t="shared" si="9"/>
        <v>ID-8</v>
      </c>
    </row>
    <row r="62" spans="1:26" s="45" customFormat="1" ht="14.4">
      <c r="A62" s="53" t="s">
        <v>460</v>
      </c>
      <c r="B62" s="53" t="s">
        <v>156</v>
      </c>
      <c r="C62" s="53" t="s">
        <v>30</v>
      </c>
      <c r="D62" s="54">
        <v>44376</v>
      </c>
      <c r="E62" s="54" t="str">
        <f t="shared" si="0"/>
        <v>Anupama</v>
      </c>
      <c r="F62" s="53" t="str">
        <f t="shared" si="1"/>
        <v>ANUPAMA</v>
      </c>
      <c r="G62" s="53" t="str">
        <f t="shared" si="2"/>
        <v>anupama</v>
      </c>
      <c r="H62" s="53" t="str">
        <f t="shared" si="3"/>
        <v>Anupama</v>
      </c>
      <c r="I62" s="53" t="str">
        <f t="shared" si="4"/>
        <v>ED-00059</v>
      </c>
      <c r="K62" s="53" t="s">
        <v>460</v>
      </c>
      <c r="L62" s="51">
        <f t="shared" si="5"/>
        <v>8</v>
      </c>
      <c r="M62" s="55" t="str">
        <f t="shared" si="6"/>
        <v>ID</v>
      </c>
      <c r="N62" s="55" t="str">
        <f t="shared" si="7"/>
        <v>-</v>
      </c>
      <c r="O62" s="55" t="str">
        <f t="shared" si="8"/>
        <v>9</v>
      </c>
      <c r="P62" s="53" t="str">
        <f t="shared" si="9"/>
        <v>ID-9</v>
      </c>
    </row>
    <row r="63" spans="1:26" s="45" customFormat="1" ht="14.4">
      <c r="A63" s="53" t="s">
        <v>459</v>
      </c>
      <c r="B63" s="53" t="s">
        <v>158</v>
      </c>
      <c r="C63" s="53" t="s">
        <v>30</v>
      </c>
      <c r="D63" s="54">
        <v>44417</v>
      </c>
      <c r="E63" s="54" t="str">
        <f t="shared" si="0"/>
        <v>Nidhi</v>
      </c>
      <c r="F63" s="53" t="str">
        <f t="shared" si="1"/>
        <v>NIDHI</v>
      </c>
      <c r="G63" s="53" t="str">
        <f t="shared" si="2"/>
        <v>nidhi</v>
      </c>
      <c r="H63" s="53" t="str">
        <f t="shared" si="3"/>
        <v>Nidhi</v>
      </c>
      <c r="I63" s="53" t="str">
        <f t="shared" si="4"/>
        <v>ED-00060</v>
      </c>
      <c r="K63" s="53" t="s">
        <v>459</v>
      </c>
      <c r="L63" s="51">
        <f t="shared" si="5"/>
        <v>8</v>
      </c>
      <c r="M63" s="55" t="str">
        <f t="shared" si="6"/>
        <v>ID</v>
      </c>
      <c r="N63" s="55" t="str">
        <f t="shared" si="7"/>
        <v>-</v>
      </c>
      <c r="O63" s="55" t="str">
        <f t="shared" si="8"/>
        <v>0</v>
      </c>
      <c r="P63" s="53" t="str">
        <f t="shared" si="9"/>
        <v>ID-0</v>
      </c>
    </row>
    <row r="64" spans="1:26" s="45" customFormat="1" ht="14.4">
      <c r="A64" s="53" t="s">
        <v>458</v>
      </c>
      <c r="B64" s="53" t="s">
        <v>160</v>
      </c>
      <c r="C64" s="53" t="s">
        <v>30</v>
      </c>
      <c r="D64" s="54">
        <v>44379</v>
      </c>
      <c r="E64" s="54" t="str">
        <f t="shared" si="0"/>
        <v>Harpreet</v>
      </c>
      <c r="F64" s="53" t="str">
        <f t="shared" si="1"/>
        <v>HARPREET</v>
      </c>
      <c r="G64" s="53" t="str">
        <f t="shared" si="2"/>
        <v>harpreet</v>
      </c>
      <c r="H64" s="53" t="str">
        <f t="shared" si="3"/>
        <v>Harpreet</v>
      </c>
      <c r="I64" s="53" t="str">
        <f t="shared" si="4"/>
        <v>ED-00061</v>
      </c>
      <c r="K64" s="53" t="s">
        <v>458</v>
      </c>
      <c r="L64" s="51">
        <f t="shared" si="5"/>
        <v>8</v>
      </c>
      <c r="M64" s="55" t="str">
        <f t="shared" si="6"/>
        <v>ID</v>
      </c>
      <c r="N64" s="55" t="str">
        <f t="shared" si="7"/>
        <v>-</v>
      </c>
      <c r="O64" s="55" t="str">
        <f t="shared" si="8"/>
        <v>1</v>
      </c>
      <c r="P64" s="53" t="str">
        <f t="shared" si="9"/>
        <v>ID-1</v>
      </c>
    </row>
    <row r="65" spans="1:16" s="45" customFormat="1" ht="14.4">
      <c r="A65" s="53" t="s">
        <v>457</v>
      </c>
      <c r="B65" s="53" t="s">
        <v>162</v>
      </c>
      <c r="C65" s="53" t="s">
        <v>30</v>
      </c>
      <c r="D65" s="54">
        <v>44885</v>
      </c>
      <c r="E65" s="54" t="str">
        <f t="shared" si="0"/>
        <v>Bharti</v>
      </c>
      <c r="F65" s="53" t="str">
        <f t="shared" si="1"/>
        <v>BHARTI</v>
      </c>
      <c r="G65" s="53" t="str">
        <f t="shared" si="2"/>
        <v>bharti</v>
      </c>
      <c r="H65" s="53" t="str">
        <f t="shared" si="3"/>
        <v>Bharti</v>
      </c>
      <c r="I65" s="53" t="str">
        <f t="shared" si="4"/>
        <v>ED-00062</v>
      </c>
      <c r="K65" s="53" t="s">
        <v>457</v>
      </c>
      <c r="L65" s="51">
        <f t="shared" si="5"/>
        <v>8</v>
      </c>
      <c r="M65" s="55" t="str">
        <f t="shared" si="6"/>
        <v>ID</v>
      </c>
      <c r="N65" s="55" t="str">
        <f t="shared" si="7"/>
        <v>-</v>
      </c>
      <c r="O65" s="55" t="str">
        <f t="shared" si="8"/>
        <v>2</v>
      </c>
      <c r="P65" s="53" t="str">
        <f t="shared" si="9"/>
        <v>ID-2</v>
      </c>
    </row>
    <row r="66" spans="1:16" s="45" customFormat="1" ht="14.4">
      <c r="A66" s="53" t="s">
        <v>456</v>
      </c>
      <c r="B66" s="53" t="s">
        <v>164</v>
      </c>
      <c r="C66" s="53" t="s">
        <v>30</v>
      </c>
      <c r="D66" s="54">
        <v>44625</v>
      </c>
      <c r="E66" s="54" t="str">
        <f t="shared" si="0"/>
        <v>Bhumika</v>
      </c>
      <c r="F66" s="53" t="str">
        <f t="shared" si="1"/>
        <v>BHUMIKA</v>
      </c>
      <c r="G66" s="53" t="str">
        <f t="shared" si="2"/>
        <v>bhumika</v>
      </c>
      <c r="H66" s="53" t="str">
        <f t="shared" si="3"/>
        <v>Bhumika</v>
      </c>
      <c r="I66" s="53" t="str">
        <f t="shared" si="4"/>
        <v>ED-00063</v>
      </c>
      <c r="K66" s="53" t="s">
        <v>456</v>
      </c>
      <c r="L66" s="51">
        <f t="shared" si="5"/>
        <v>8</v>
      </c>
      <c r="M66" s="55" t="str">
        <f t="shared" si="6"/>
        <v>ID</v>
      </c>
      <c r="N66" s="55" t="str">
        <f t="shared" si="7"/>
        <v>-</v>
      </c>
      <c r="O66" s="55" t="str">
        <f t="shared" si="8"/>
        <v>3</v>
      </c>
      <c r="P66" s="53" t="str">
        <f t="shared" si="9"/>
        <v>ID-3</v>
      </c>
    </row>
    <row r="67" spans="1:16" s="45" customFormat="1" ht="14.4">
      <c r="A67" s="53" t="s">
        <v>455</v>
      </c>
      <c r="B67" s="53" t="s">
        <v>166</v>
      </c>
      <c r="C67" s="53" t="s">
        <v>30</v>
      </c>
      <c r="D67" s="54">
        <v>44835</v>
      </c>
      <c r="E67" s="54" t="str">
        <f t="shared" si="0"/>
        <v>Chander</v>
      </c>
      <c r="F67" s="53" t="str">
        <f t="shared" si="1"/>
        <v>CHANDER</v>
      </c>
      <c r="G67" s="53" t="str">
        <f t="shared" si="2"/>
        <v>chander</v>
      </c>
      <c r="H67" s="53" t="str">
        <f t="shared" si="3"/>
        <v>Chander</v>
      </c>
      <c r="I67" s="53" t="str">
        <f t="shared" si="4"/>
        <v>ED-00064</v>
      </c>
      <c r="K67" s="53" t="s">
        <v>455</v>
      </c>
      <c r="L67" s="51">
        <f t="shared" si="5"/>
        <v>8</v>
      </c>
      <c r="M67" s="55" t="str">
        <f t="shared" si="6"/>
        <v>ID</v>
      </c>
      <c r="N67" s="55" t="str">
        <f t="shared" si="7"/>
        <v>-</v>
      </c>
      <c r="O67" s="55" t="str">
        <f t="shared" si="8"/>
        <v>4</v>
      </c>
      <c r="P67" s="53" t="str">
        <f t="shared" si="9"/>
        <v>ID-4</v>
      </c>
    </row>
    <row r="68" spans="1:16" s="45" customFormat="1" ht="14.4">
      <c r="A68" s="53" t="s">
        <v>454</v>
      </c>
      <c r="B68" s="53" t="s">
        <v>168</v>
      </c>
      <c r="C68" s="53" t="s">
        <v>30</v>
      </c>
      <c r="D68" s="54">
        <v>44624</v>
      </c>
      <c r="E68" s="54" t="str">
        <f t="shared" si="0"/>
        <v>Ritu</v>
      </c>
      <c r="F68" s="53" t="str">
        <f t="shared" si="1"/>
        <v>RITU</v>
      </c>
      <c r="G68" s="53" t="str">
        <f t="shared" si="2"/>
        <v>ritu</v>
      </c>
      <c r="H68" s="53" t="str">
        <f t="shared" si="3"/>
        <v>Ritu</v>
      </c>
      <c r="I68" s="53" t="str">
        <f t="shared" si="4"/>
        <v>ED-00065</v>
      </c>
      <c r="K68" s="53" t="s">
        <v>454</v>
      </c>
      <c r="L68" s="51">
        <f t="shared" si="5"/>
        <v>8</v>
      </c>
      <c r="M68" s="55" t="str">
        <f t="shared" si="6"/>
        <v>ID</v>
      </c>
      <c r="N68" s="55" t="str">
        <f t="shared" si="7"/>
        <v>-</v>
      </c>
      <c r="O68" s="55" t="str">
        <f t="shared" si="8"/>
        <v>5</v>
      </c>
      <c r="P68" s="53" t="str">
        <f t="shared" si="9"/>
        <v>ID-5</v>
      </c>
    </row>
    <row r="69" spans="1:16" s="45" customFormat="1" ht="14.4">
      <c r="A69" s="53" t="s">
        <v>453</v>
      </c>
      <c r="B69" s="53" t="s">
        <v>170</v>
      </c>
      <c r="C69" s="53" t="s">
        <v>58</v>
      </c>
      <c r="D69" s="54">
        <v>44551</v>
      </c>
      <c r="E69" s="54" t="str">
        <f t="shared" ref="E69:E132" si="13">TRIM(B69)</f>
        <v>Maneesh</v>
      </c>
      <c r="F69" s="53" t="str">
        <f t="shared" ref="F69:F132" si="14">UPPER(E69)</f>
        <v>MANEESH</v>
      </c>
      <c r="G69" s="53" t="str">
        <f t="shared" ref="G69:G132" si="15">LOWER(E69)</f>
        <v>maneesh</v>
      </c>
      <c r="H69" s="53" t="str">
        <f t="shared" ref="H69:H132" si="16">PROPER(E69)</f>
        <v>Maneesh</v>
      </c>
      <c r="I69" s="53" t="str">
        <f t="shared" ref="I69:I132" si="17">SUBSTITUTE(A69,"ID","ED")</f>
        <v>ED-00066</v>
      </c>
      <c r="K69" s="53" t="s">
        <v>453</v>
      </c>
      <c r="L69" s="51">
        <f t="shared" ref="L69:L132" si="18">LEN(K69)</f>
        <v>8</v>
      </c>
      <c r="M69" s="55" t="str">
        <f t="shared" ref="M69:M132" si="19">LEFT(K69,2)</f>
        <v>ID</v>
      </c>
      <c r="N69" s="55" t="str">
        <f t="shared" ref="N69:N132" si="20">MID(K69,3,1)</f>
        <v>-</v>
      </c>
      <c r="O69" s="55" t="str">
        <f t="shared" ref="O69:O132" si="21">RIGHT(K69,1)</f>
        <v>6</v>
      </c>
      <c r="P69" s="53" t="str">
        <f t="shared" ref="P69:P132" si="22">_xlfn.CONCAT(M69,N69,O69)</f>
        <v>ID-6</v>
      </c>
    </row>
    <row r="70" spans="1:16" s="45" customFormat="1" ht="14.4">
      <c r="A70" s="53" t="s">
        <v>452</v>
      </c>
      <c r="B70" s="53" t="s">
        <v>172</v>
      </c>
      <c r="C70" s="53" t="s">
        <v>130</v>
      </c>
      <c r="D70" s="54">
        <v>44913</v>
      </c>
      <c r="E70" s="54" t="str">
        <f t="shared" si="13"/>
        <v>Aaradhya</v>
      </c>
      <c r="F70" s="53" t="str">
        <f t="shared" si="14"/>
        <v>AARADHYA</v>
      </c>
      <c r="G70" s="53" t="str">
        <f t="shared" si="15"/>
        <v>aaradhya</v>
      </c>
      <c r="H70" s="53" t="str">
        <f t="shared" si="16"/>
        <v>Aaradhya</v>
      </c>
      <c r="I70" s="53" t="str">
        <f t="shared" si="17"/>
        <v>ED-00067</v>
      </c>
      <c r="K70" s="53" t="s">
        <v>452</v>
      </c>
      <c r="L70" s="51">
        <f t="shared" si="18"/>
        <v>8</v>
      </c>
      <c r="M70" s="55" t="str">
        <f t="shared" si="19"/>
        <v>ID</v>
      </c>
      <c r="N70" s="55" t="str">
        <f t="shared" si="20"/>
        <v>-</v>
      </c>
      <c r="O70" s="55" t="str">
        <f t="shared" si="21"/>
        <v>7</v>
      </c>
      <c r="P70" s="53" t="str">
        <f t="shared" si="22"/>
        <v>ID-7</v>
      </c>
    </row>
    <row r="71" spans="1:16" s="45" customFormat="1" ht="14.4">
      <c r="A71" s="53" t="s">
        <v>451</v>
      </c>
      <c r="B71" s="53" t="s">
        <v>174</v>
      </c>
      <c r="C71" s="53" t="s">
        <v>130</v>
      </c>
      <c r="D71" s="54">
        <v>44434</v>
      </c>
      <c r="E71" s="54" t="str">
        <f t="shared" si="13"/>
        <v>Adah</v>
      </c>
      <c r="F71" s="53" t="str">
        <f t="shared" si="14"/>
        <v>ADAH</v>
      </c>
      <c r="G71" s="53" t="str">
        <f t="shared" si="15"/>
        <v>adah</v>
      </c>
      <c r="H71" s="53" t="str">
        <f t="shared" si="16"/>
        <v>Adah</v>
      </c>
      <c r="I71" s="53" t="str">
        <f t="shared" si="17"/>
        <v>ED-00068</v>
      </c>
      <c r="K71" s="53" t="s">
        <v>451</v>
      </c>
      <c r="L71" s="51">
        <f t="shared" si="18"/>
        <v>8</v>
      </c>
      <c r="M71" s="55" t="str">
        <f t="shared" si="19"/>
        <v>ID</v>
      </c>
      <c r="N71" s="55" t="str">
        <f t="shared" si="20"/>
        <v>-</v>
      </c>
      <c r="O71" s="55" t="str">
        <f t="shared" si="21"/>
        <v>8</v>
      </c>
      <c r="P71" s="53" t="str">
        <f t="shared" si="22"/>
        <v>ID-8</v>
      </c>
    </row>
    <row r="72" spans="1:16" s="45" customFormat="1" ht="14.4">
      <c r="A72" s="53" t="s">
        <v>450</v>
      </c>
      <c r="B72" s="53" t="s">
        <v>176</v>
      </c>
      <c r="C72" s="53" t="s">
        <v>130</v>
      </c>
      <c r="D72" s="54">
        <v>44843</v>
      </c>
      <c r="E72" s="54" t="str">
        <f t="shared" si="13"/>
        <v>Adhira</v>
      </c>
      <c r="F72" s="53" t="str">
        <f t="shared" si="14"/>
        <v>ADHIRA</v>
      </c>
      <c r="G72" s="53" t="str">
        <f t="shared" si="15"/>
        <v>adhira</v>
      </c>
      <c r="H72" s="53" t="str">
        <f t="shared" si="16"/>
        <v>Adhira</v>
      </c>
      <c r="I72" s="53" t="str">
        <f t="shared" si="17"/>
        <v>ED-00069</v>
      </c>
      <c r="K72" s="53" t="s">
        <v>450</v>
      </c>
      <c r="L72" s="51">
        <f t="shared" si="18"/>
        <v>8</v>
      </c>
      <c r="M72" s="55" t="str">
        <f t="shared" si="19"/>
        <v>ID</v>
      </c>
      <c r="N72" s="55" t="str">
        <f t="shared" si="20"/>
        <v>-</v>
      </c>
      <c r="O72" s="55" t="str">
        <f t="shared" si="21"/>
        <v>9</v>
      </c>
      <c r="P72" s="53" t="str">
        <f t="shared" si="22"/>
        <v>ID-9</v>
      </c>
    </row>
    <row r="73" spans="1:16" s="45" customFormat="1" ht="14.4">
      <c r="A73" s="53" t="s">
        <v>449</v>
      </c>
      <c r="B73" s="53" t="s">
        <v>178</v>
      </c>
      <c r="C73" s="53" t="s">
        <v>130</v>
      </c>
      <c r="D73" s="54">
        <v>44687</v>
      </c>
      <c r="E73" s="54" t="str">
        <f t="shared" si="13"/>
        <v>Alisha</v>
      </c>
      <c r="F73" s="53" t="str">
        <f t="shared" si="14"/>
        <v>ALISHA</v>
      </c>
      <c r="G73" s="53" t="str">
        <f t="shared" si="15"/>
        <v>alisha</v>
      </c>
      <c r="H73" s="53" t="str">
        <f t="shared" si="16"/>
        <v>Alisha</v>
      </c>
      <c r="I73" s="53" t="str">
        <f t="shared" si="17"/>
        <v>ED-00070</v>
      </c>
      <c r="K73" s="53" t="s">
        <v>449</v>
      </c>
      <c r="L73" s="51">
        <f t="shared" si="18"/>
        <v>8</v>
      </c>
      <c r="M73" s="55" t="str">
        <f t="shared" si="19"/>
        <v>ID</v>
      </c>
      <c r="N73" s="55" t="str">
        <f t="shared" si="20"/>
        <v>-</v>
      </c>
      <c r="O73" s="55" t="str">
        <f t="shared" si="21"/>
        <v>0</v>
      </c>
      <c r="P73" s="53" t="str">
        <f t="shared" si="22"/>
        <v>ID-0</v>
      </c>
    </row>
    <row r="74" spans="1:16" s="45" customFormat="1" ht="14.4">
      <c r="A74" s="53" t="s">
        <v>448</v>
      </c>
      <c r="B74" s="53" t="s">
        <v>180</v>
      </c>
      <c r="C74" s="53" t="s">
        <v>65</v>
      </c>
      <c r="D74" s="54">
        <v>44544</v>
      </c>
      <c r="E74" s="54" t="str">
        <f t="shared" si="13"/>
        <v>Amoli</v>
      </c>
      <c r="F74" s="53" t="str">
        <f t="shared" si="14"/>
        <v>AMOLI</v>
      </c>
      <c r="G74" s="53" t="str">
        <f t="shared" si="15"/>
        <v>amoli</v>
      </c>
      <c r="H74" s="53" t="str">
        <f t="shared" si="16"/>
        <v>Amoli</v>
      </c>
      <c r="I74" s="53" t="str">
        <f t="shared" si="17"/>
        <v>ED-00071</v>
      </c>
      <c r="K74" s="53" t="s">
        <v>448</v>
      </c>
      <c r="L74" s="51">
        <f t="shared" si="18"/>
        <v>8</v>
      </c>
      <c r="M74" s="55" t="str">
        <f t="shared" si="19"/>
        <v>ID</v>
      </c>
      <c r="N74" s="55" t="str">
        <f t="shared" si="20"/>
        <v>-</v>
      </c>
      <c r="O74" s="55" t="str">
        <f t="shared" si="21"/>
        <v>1</v>
      </c>
      <c r="P74" s="53" t="str">
        <f t="shared" si="22"/>
        <v>ID-1</v>
      </c>
    </row>
    <row r="75" spans="1:16" s="45" customFormat="1" ht="14.4">
      <c r="A75" s="53" t="s">
        <v>447</v>
      </c>
      <c r="B75" s="53" t="s">
        <v>182</v>
      </c>
      <c r="C75" s="53" t="s">
        <v>65</v>
      </c>
      <c r="D75" s="54">
        <v>44973</v>
      </c>
      <c r="E75" s="54" t="str">
        <f t="shared" si="13"/>
        <v>Anaisha</v>
      </c>
      <c r="F75" s="53" t="str">
        <f t="shared" si="14"/>
        <v>ANAISHA</v>
      </c>
      <c r="G75" s="53" t="str">
        <f t="shared" si="15"/>
        <v>anaisha</v>
      </c>
      <c r="H75" s="53" t="str">
        <f t="shared" si="16"/>
        <v>Anaisha</v>
      </c>
      <c r="I75" s="53" t="str">
        <f t="shared" si="17"/>
        <v>ED-00072</v>
      </c>
      <c r="K75" s="53" t="s">
        <v>447</v>
      </c>
      <c r="L75" s="51">
        <f t="shared" si="18"/>
        <v>8</v>
      </c>
      <c r="M75" s="55" t="str">
        <f t="shared" si="19"/>
        <v>ID</v>
      </c>
      <c r="N75" s="55" t="str">
        <f t="shared" si="20"/>
        <v>-</v>
      </c>
      <c r="O75" s="55" t="str">
        <f t="shared" si="21"/>
        <v>2</v>
      </c>
      <c r="P75" s="53" t="str">
        <f t="shared" si="22"/>
        <v>ID-2</v>
      </c>
    </row>
    <row r="76" spans="1:16" s="45" customFormat="1" ht="14.4">
      <c r="A76" s="53" t="s">
        <v>446</v>
      </c>
      <c r="B76" s="53" t="s">
        <v>184</v>
      </c>
      <c r="C76" s="53" t="s">
        <v>65</v>
      </c>
      <c r="D76" s="54">
        <v>44354</v>
      </c>
      <c r="E76" s="54" t="str">
        <f t="shared" si="13"/>
        <v>Ananya</v>
      </c>
      <c r="F76" s="53" t="str">
        <f t="shared" si="14"/>
        <v>ANANYA</v>
      </c>
      <c r="G76" s="53" t="str">
        <f t="shared" si="15"/>
        <v>ananya</v>
      </c>
      <c r="H76" s="53" t="str">
        <f t="shared" si="16"/>
        <v>Ananya</v>
      </c>
      <c r="I76" s="53" t="str">
        <f t="shared" si="17"/>
        <v>ED-00073</v>
      </c>
      <c r="K76" s="53" t="s">
        <v>446</v>
      </c>
      <c r="L76" s="51">
        <f t="shared" si="18"/>
        <v>8</v>
      </c>
      <c r="M76" s="55" t="str">
        <f t="shared" si="19"/>
        <v>ID</v>
      </c>
      <c r="N76" s="55" t="str">
        <f t="shared" si="20"/>
        <v>-</v>
      </c>
      <c r="O76" s="55" t="str">
        <f t="shared" si="21"/>
        <v>3</v>
      </c>
      <c r="P76" s="53" t="str">
        <f t="shared" si="22"/>
        <v>ID-3</v>
      </c>
    </row>
    <row r="77" spans="1:16" s="45" customFormat="1" ht="14.4">
      <c r="A77" s="53" t="s">
        <v>445</v>
      </c>
      <c r="B77" s="53" t="s">
        <v>186</v>
      </c>
      <c r="C77" s="53" t="s">
        <v>58</v>
      </c>
      <c r="D77" s="54">
        <v>44673</v>
      </c>
      <c r="E77" s="54" t="str">
        <f t="shared" si="13"/>
        <v>Anika</v>
      </c>
      <c r="F77" s="53" t="str">
        <f t="shared" si="14"/>
        <v>ANIKA</v>
      </c>
      <c r="G77" s="53" t="str">
        <f t="shared" si="15"/>
        <v>anika</v>
      </c>
      <c r="H77" s="53" t="str">
        <f t="shared" si="16"/>
        <v>Anika</v>
      </c>
      <c r="I77" s="53" t="str">
        <f t="shared" si="17"/>
        <v>ED-00074</v>
      </c>
      <c r="K77" s="53" t="s">
        <v>445</v>
      </c>
      <c r="L77" s="51">
        <f t="shared" si="18"/>
        <v>8</v>
      </c>
      <c r="M77" s="55" t="str">
        <f t="shared" si="19"/>
        <v>ID</v>
      </c>
      <c r="N77" s="55" t="str">
        <f t="shared" si="20"/>
        <v>-</v>
      </c>
      <c r="O77" s="55" t="str">
        <f t="shared" si="21"/>
        <v>4</v>
      </c>
      <c r="P77" s="53" t="str">
        <f t="shared" si="22"/>
        <v>ID-4</v>
      </c>
    </row>
    <row r="78" spans="1:16" s="45" customFormat="1" ht="14.4">
      <c r="A78" s="53" t="s">
        <v>444</v>
      </c>
      <c r="B78" s="53" t="s">
        <v>188</v>
      </c>
      <c r="C78" s="53" t="s">
        <v>58</v>
      </c>
      <c r="D78" s="54">
        <v>44480</v>
      </c>
      <c r="E78" s="54" t="str">
        <f t="shared" si="13"/>
        <v>Anushka</v>
      </c>
      <c r="F78" s="53" t="str">
        <f t="shared" si="14"/>
        <v>ANUSHKA</v>
      </c>
      <c r="G78" s="53" t="str">
        <f t="shared" si="15"/>
        <v>anushka</v>
      </c>
      <c r="H78" s="53" t="str">
        <f t="shared" si="16"/>
        <v>Anushka</v>
      </c>
      <c r="I78" s="53" t="str">
        <f t="shared" si="17"/>
        <v>ED-00075</v>
      </c>
      <c r="K78" s="53" t="s">
        <v>444</v>
      </c>
      <c r="L78" s="51">
        <f t="shared" si="18"/>
        <v>8</v>
      </c>
      <c r="M78" s="55" t="str">
        <f t="shared" si="19"/>
        <v>ID</v>
      </c>
      <c r="N78" s="55" t="str">
        <f t="shared" si="20"/>
        <v>-</v>
      </c>
      <c r="O78" s="55" t="str">
        <f t="shared" si="21"/>
        <v>5</v>
      </c>
      <c r="P78" s="53" t="str">
        <f t="shared" si="22"/>
        <v>ID-5</v>
      </c>
    </row>
    <row r="79" spans="1:16" s="45" customFormat="1" ht="14.4">
      <c r="A79" s="53" t="s">
        <v>443</v>
      </c>
      <c r="B79" s="53" t="s">
        <v>190</v>
      </c>
      <c r="C79" s="53" t="s">
        <v>58</v>
      </c>
      <c r="D79" s="54">
        <v>44364</v>
      </c>
      <c r="E79" s="54" t="str">
        <f t="shared" si="13"/>
        <v>Asmee</v>
      </c>
      <c r="F79" s="53" t="str">
        <f t="shared" si="14"/>
        <v>ASMEE</v>
      </c>
      <c r="G79" s="53" t="str">
        <f t="shared" si="15"/>
        <v>asmee</v>
      </c>
      <c r="H79" s="53" t="str">
        <f t="shared" si="16"/>
        <v>Asmee</v>
      </c>
      <c r="I79" s="53" t="str">
        <f t="shared" si="17"/>
        <v>ED-00076</v>
      </c>
      <c r="K79" s="53" t="s">
        <v>443</v>
      </c>
      <c r="L79" s="51">
        <f t="shared" si="18"/>
        <v>8</v>
      </c>
      <c r="M79" s="55" t="str">
        <f t="shared" si="19"/>
        <v>ID</v>
      </c>
      <c r="N79" s="55" t="str">
        <f t="shared" si="20"/>
        <v>-</v>
      </c>
      <c r="O79" s="55" t="str">
        <f t="shared" si="21"/>
        <v>6</v>
      </c>
      <c r="P79" s="53" t="str">
        <f t="shared" si="22"/>
        <v>ID-6</v>
      </c>
    </row>
    <row r="80" spans="1:16" s="45" customFormat="1" ht="14.4">
      <c r="A80" s="53" t="s">
        <v>442</v>
      </c>
      <c r="B80" s="53" t="s">
        <v>192</v>
      </c>
      <c r="C80" s="53" t="s">
        <v>30</v>
      </c>
      <c r="D80" s="54">
        <v>44365</v>
      </c>
      <c r="E80" s="54" t="str">
        <f t="shared" si="13"/>
        <v>Avni</v>
      </c>
      <c r="F80" s="53" t="str">
        <f t="shared" si="14"/>
        <v>AVNI</v>
      </c>
      <c r="G80" s="53" t="str">
        <f t="shared" si="15"/>
        <v>avni</v>
      </c>
      <c r="H80" s="53" t="str">
        <f t="shared" si="16"/>
        <v>Avni</v>
      </c>
      <c r="I80" s="53" t="str">
        <f t="shared" si="17"/>
        <v>ED-00077</v>
      </c>
      <c r="K80" s="53" t="s">
        <v>442</v>
      </c>
      <c r="L80" s="51">
        <f t="shared" si="18"/>
        <v>8</v>
      </c>
      <c r="M80" s="55" t="str">
        <f t="shared" si="19"/>
        <v>ID</v>
      </c>
      <c r="N80" s="55" t="str">
        <f t="shared" si="20"/>
        <v>-</v>
      </c>
      <c r="O80" s="55" t="str">
        <f t="shared" si="21"/>
        <v>7</v>
      </c>
      <c r="P80" s="53" t="str">
        <f t="shared" si="22"/>
        <v>ID-7</v>
      </c>
    </row>
    <row r="81" spans="1:16" s="45" customFormat="1" ht="14.4">
      <c r="A81" s="53" t="s">
        <v>441</v>
      </c>
      <c r="B81" s="53" t="s">
        <v>194</v>
      </c>
      <c r="C81" s="53" t="s">
        <v>30</v>
      </c>
      <c r="D81" s="54">
        <v>44797</v>
      </c>
      <c r="E81" s="54" t="str">
        <f t="shared" si="13"/>
        <v>Carina</v>
      </c>
      <c r="F81" s="53" t="str">
        <f t="shared" si="14"/>
        <v>CARINA</v>
      </c>
      <c r="G81" s="53" t="str">
        <f t="shared" si="15"/>
        <v>carina</v>
      </c>
      <c r="H81" s="53" t="str">
        <f t="shared" si="16"/>
        <v>Carina</v>
      </c>
      <c r="I81" s="53" t="str">
        <f t="shared" si="17"/>
        <v>ED-00078</v>
      </c>
      <c r="K81" s="53" t="s">
        <v>441</v>
      </c>
      <c r="L81" s="51">
        <f t="shared" si="18"/>
        <v>8</v>
      </c>
      <c r="M81" s="55" t="str">
        <f t="shared" si="19"/>
        <v>ID</v>
      </c>
      <c r="N81" s="55" t="str">
        <f t="shared" si="20"/>
        <v>-</v>
      </c>
      <c r="O81" s="55" t="str">
        <f t="shared" si="21"/>
        <v>8</v>
      </c>
      <c r="P81" s="53" t="str">
        <f t="shared" si="22"/>
        <v>ID-8</v>
      </c>
    </row>
    <row r="82" spans="1:16" s="45" customFormat="1" ht="14.4">
      <c r="A82" s="53" t="s">
        <v>440</v>
      </c>
      <c r="B82" s="53" t="s">
        <v>196</v>
      </c>
      <c r="C82" s="53" t="s">
        <v>30</v>
      </c>
      <c r="D82" s="54">
        <v>44856</v>
      </c>
      <c r="E82" s="54" t="str">
        <f t="shared" si="13"/>
        <v>Drishti</v>
      </c>
      <c r="F82" s="53" t="str">
        <f t="shared" si="14"/>
        <v>DRISHTI</v>
      </c>
      <c r="G82" s="53" t="str">
        <f t="shared" si="15"/>
        <v>drishti</v>
      </c>
      <c r="H82" s="53" t="str">
        <f t="shared" si="16"/>
        <v>Drishti</v>
      </c>
      <c r="I82" s="53" t="str">
        <f t="shared" si="17"/>
        <v>ED-00079</v>
      </c>
      <c r="K82" s="53" t="s">
        <v>440</v>
      </c>
      <c r="L82" s="51">
        <f t="shared" si="18"/>
        <v>8</v>
      </c>
      <c r="M82" s="55" t="str">
        <f t="shared" si="19"/>
        <v>ID</v>
      </c>
      <c r="N82" s="55" t="str">
        <f t="shared" si="20"/>
        <v>-</v>
      </c>
      <c r="O82" s="55" t="str">
        <f t="shared" si="21"/>
        <v>9</v>
      </c>
      <c r="P82" s="53" t="str">
        <f t="shared" si="22"/>
        <v>ID-9</v>
      </c>
    </row>
    <row r="83" spans="1:16" s="45" customFormat="1" ht="14.4">
      <c r="A83" s="53" t="s">
        <v>439</v>
      </c>
      <c r="B83" s="53" t="s">
        <v>198</v>
      </c>
      <c r="C83" s="53" t="s">
        <v>30</v>
      </c>
      <c r="D83" s="54">
        <v>45014</v>
      </c>
      <c r="E83" s="54" t="str">
        <f t="shared" si="13"/>
        <v>Hiya</v>
      </c>
      <c r="F83" s="53" t="str">
        <f t="shared" si="14"/>
        <v>HIYA</v>
      </c>
      <c r="G83" s="53" t="str">
        <f t="shared" si="15"/>
        <v>hiya</v>
      </c>
      <c r="H83" s="53" t="str">
        <f t="shared" si="16"/>
        <v>Hiya</v>
      </c>
      <c r="I83" s="53" t="str">
        <f t="shared" si="17"/>
        <v>ED-00080</v>
      </c>
      <c r="K83" s="53" t="s">
        <v>439</v>
      </c>
      <c r="L83" s="51">
        <f t="shared" si="18"/>
        <v>8</v>
      </c>
      <c r="M83" s="55" t="str">
        <f t="shared" si="19"/>
        <v>ID</v>
      </c>
      <c r="N83" s="55" t="str">
        <f t="shared" si="20"/>
        <v>-</v>
      </c>
      <c r="O83" s="55" t="str">
        <f t="shared" si="21"/>
        <v>0</v>
      </c>
      <c r="P83" s="53" t="str">
        <f t="shared" si="22"/>
        <v>ID-0</v>
      </c>
    </row>
    <row r="84" spans="1:16" s="45" customFormat="1" ht="14.4">
      <c r="A84" s="53" t="s">
        <v>438</v>
      </c>
      <c r="B84" s="53" t="s">
        <v>200</v>
      </c>
      <c r="C84" s="53" t="s">
        <v>30</v>
      </c>
      <c r="D84" s="54">
        <v>44502</v>
      </c>
      <c r="E84" s="54" t="str">
        <f t="shared" si="13"/>
        <v>Ira</v>
      </c>
      <c r="F84" s="53" t="str">
        <f t="shared" si="14"/>
        <v>IRA</v>
      </c>
      <c r="G84" s="53" t="str">
        <f t="shared" si="15"/>
        <v>ira</v>
      </c>
      <c r="H84" s="53" t="str">
        <f t="shared" si="16"/>
        <v>Ira</v>
      </c>
      <c r="I84" s="53" t="str">
        <f t="shared" si="17"/>
        <v>ED-00081</v>
      </c>
      <c r="K84" s="53" t="s">
        <v>438</v>
      </c>
      <c r="L84" s="51">
        <f t="shared" si="18"/>
        <v>8</v>
      </c>
      <c r="M84" s="55" t="str">
        <f t="shared" si="19"/>
        <v>ID</v>
      </c>
      <c r="N84" s="55" t="str">
        <f t="shared" si="20"/>
        <v>-</v>
      </c>
      <c r="O84" s="55" t="str">
        <f t="shared" si="21"/>
        <v>1</v>
      </c>
      <c r="P84" s="53" t="str">
        <f t="shared" si="22"/>
        <v>ID-1</v>
      </c>
    </row>
    <row r="85" spans="1:16" s="45" customFormat="1" ht="14.4">
      <c r="A85" s="53" t="s">
        <v>437</v>
      </c>
      <c r="B85" s="53" t="s">
        <v>202</v>
      </c>
      <c r="C85" s="53" t="s">
        <v>30</v>
      </c>
      <c r="D85" s="54">
        <v>44899</v>
      </c>
      <c r="E85" s="54" t="str">
        <f t="shared" si="13"/>
        <v>Ishana</v>
      </c>
      <c r="F85" s="53" t="str">
        <f t="shared" si="14"/>
        <v>ISHANA</v>
      </c>
      <c r="G85" s="53" t="str">
        <f t="shared" si="15"/>
        <v>ishana</v>
      </c>
      <c r="H85" s="53" t="str">
        <f t="shared" si="16"/>
        <v>Ishana</v>
      </c>
      <c r="I85" s="53" t="str">
        <f t="shared" si="17"/>
        <v>ED-00082</v>
      </c>
      <c r="K85" s="53" t="s">
        <v>437</v>
      </c>
      <c r="L85" s="51">
        <f t="shared" si="18"/>
        <v>8</v>
      </c>
      <c r="M85" s="55" t="str">
        <f t="shared" si="19"/>
        <v>ID</v>
      </c>
      <c r="N85" s="55" t="str">
        <f t="shared" si="20"/>
        <v>-</v>
      </c>
      <c r="O85" s="55" t="str">
        <f t="shared" si="21"/>
        <v>2</v>
      </c>
      <c r="P85" s="53" t="str">
        <f t="shared" si="22"/>
        <v>ID-2</v>
      </c>
    </row>
    <row r="86" spans="1:16" s="45" customFormat="1" ht="14.4">
      <c r="A86" s="53" t="s">
        <v>436</v>
      </c>
      <c r="B86" s="53" t="s">
        <v>204</v>
      </c>
      <c r="C86" s="53" t="s">
        <v>30</v>
      </c>
      <c r="D86" s="54">
        <v>44978</v>
      </c>
      <c r="E86" s="54" t="str">
        <f t="shared" si="13"/>
        <v>Ishita</v>
      </c>
      <c r="F86" s="53" t="str">
        <f t="shared" si="14"/>
        <v>ISHITA</v>
      </c>
      <c r="G86" s="53" t="str">
        <f t="shared" si="15"/>
        <v>ishita</v>
      </c>
      <c r="H86" s="53" t="str">
        <f t="shared" si="16"/>
        <v>Ishita</v>
      </c>
      <c r="I86" s="53" t="str">
        <f t="shared" si="17"/>
        <v>ED-00083</v>
      </c>
      <c r="K86" s="53" t="s">
        <v>436</v>
      </c>
      <c r="L86" s="51">
        <f t="shared" si="18"/>
        <v>8</v>
      </c>
      <c r="M86" s="55" t="str">
        <f t="shared" si="19"/>
        <v>ID</v>
      </c>
      <c r="N86" s="55" t="str">
        <f t="shared" si="20"/>
        <v>-</v>
      </c>
      <c r="O86" s="55" t="str">
        <f t="shared" si="21"/>
        <v>3</v>
      </c>
      <c r="P86" s="53" t="str">
        <f t="shared" si="22"/>
        <v>ID-3</v>
      </c>
    </row>
    <row r="87" spans="1:16" s="45" customFormat="1" ht="14.4">
      <c r="A87" s="53" t="s">
        <v>435</v>
      </c>
      <c r="B87" s="53" t="s">
        <v>206</v>
      </c>
      <c r="C87" s="53" t="s">
        <v>30</v>
      </c>
      <c r="D87" s="54">
        <v>44550</v>
      </c>
      <c r="E87" s="54" t="str">
        <f t="shared" si="13"/>
        <v>Kaia</v>
      </c>
      <c r="F87" s="53" t="str">
        <f t="shared" si="14"/>
        <v>KAIA</v>
      </c>
      <c r="G87" s="53" t="str">
        <f t="shared" si="15"/>
        <v>kaia</v>
      </c>
      <c r="H87" s="53" t="str">
        <f t="shared" si="16"/>
        <v>Kaia</v>
      </c>
      <c r="I87" s="53" t="str">
        <f t="shared" si="17"/>
        <v>ED-00084</v>
      </c>
      <c r="K87" s="53" t="s">
        <v>435</v>
      </c>
      <c r="L87" s="51">
        <f t="shared" si="18"/>
        <v>8</v>
      </c>
      <c r="M87" s="55" t="str">
        <f t="shared" si="19"/>
        <v>ID</v>
      </c>
      <c r="N87" s="55" t="str">
        <f t="shared" si="20"/>
        <v>-</v>
      </c>
      <c r="O87" s="55" t="str">
        <f t="shared" si="21"/>
        <v>4</v>
      </c>
      <c r="P87" s="53" t="str">
        <f t="shared" si="22"/>
        <v>ID-4</v>
      </c>
    </row>
    <row r="88" spans="1:16" s="45" customFormat="1" ht="14.4">
      <c r="A88" s="53" t="s">
        <v>434</v>
      </c>
      <c r="B88" s="53" t="s">
        <v>208</v>
      </c>
      <c r="C88" s="53" t="s">
        <v>30</v>
      </c>
      <c r="D88" s="54">
        <v>44859</v>
      </c>
      <c r="E88" s="54" t="str">
        <f t="shared" si="13"/>
        <v>Kashvi</v>
      </c>
      <c r="F88" s="53" t="str">
        <f t="shared" si="14"/>
        <v>KASHVI</v>
      </c>
      <c r="G88" s="53" t="str">
        <f t="shared" si="15"/>
        <v>kashvi</v>
      </c>
      <c r="H88" s="53" t="str">
        <f t="shared" si="16"/>
        <v>Kashvi</v>
      </c>
      <c r="I88" s="53" t="str">
        <f t="shared" si="17"/>
        <v>ED-00085</v>
      </c>
      <c r="K88" s="53" t="s">
        <v>434</v>
      </c>
      <c r="L88" s="51">
        <f t="shared" si="18"/>
        <v>8</v>
      </c>
      <c r="M88" s="55" t="str">
        <f t="shared" si="19"/>
        <v>ID</v>
      </c>
      <c r="N88" s="55" t="str">
        <f t="shared" si="20"/>
        <v>-</v>
      </c>
      <c r="O88" s="55" t="str">
        <f t="shared" si="21"/>
        <v>5</v>
      </c>
      <c r="P88" s="53" t="str">
        <f t="shared" si="22"/>
        <v>ID-5</v>
      </c>
    </row>
    <row r="89" spans="1:16" s="45" customFormat="1" ht="14.4">
      <c r="A89" s="53" t="s">
        <v>433</v>
      </c>
      <c r="B89" s="53" t="s">
        <v>210</v>
      </c>
      <c r="C89" s="53" t="s">
        <v>30</v>
      </c>
      <c r="D89" s="54">
        <v>44661</v>
      </c>
      <c r="E89" s="54" t="str">
        <f t="shared" si="13"/>
        <v>Keya</v>
      </c>
      <c r="F89" s="53" t="str">
        <f t="shared" si="14"/>
        <v>KEYA</v>
      </c>
      <c r="G89" s="53" t="str">
        <f t="shared" si="15"/>
        <v>keya</v>
      </c>
      <c r="H89" s="53" t="str">
        <f t="shared" si="16"/>
        <v>Keya</v>
      </c>
      <c r="I89" s="53" t="str">
        <f t="shared" si="17"/>
        <v>ED-00086</v>
      </c>
      <c r="K89" s="53" t="s">
        <v>433</v>
      </c>
      <c r="L89" s="51">
        <f t="shared" si="18"/>
        <v>8</v>
      </c>
      <c r="M89" s="55" t="str">
        <f t="shared" si="19"/>
        <v>ID</v>
      </c>
      <c r="N89" s="55" t="str">
        <f t="shared" si="20"/>
        <v>-</v>
      </c>
      <c r="O89" s="55" t="str">
        <f t="shared" si="21"/>
        <v>6</v>
      </c>
      <c r="P89" s="53" t="str">
        <f t="shared" si="22"/>
        <v>ID-6</v>
      </c>
    </row>
    <row r="90" spans="1:16" s="45" customFormat="1" ht="14.4">
      <c r="A90" s="53" t="s">
        <v>432</v>
      </c>
      <c r="B90" s="53" t="s">
        <v>212</v>
      </c>
      <c r="C90" s="53" t="s">
        <v>58</v>
      </c>
      <c r="D90" s="54">
        <v>44470</v>
      </c>
      <c r="E90" s="54" t="str">
        <f t="shared" si="13"/>
        <v>Kimaya</v>
      </c>
      <c r="F90" s="53" t="str">
        <f t="shared" si="14"/>
        <v>KIMAYA</v>
      </c>
      <c r="G90" s="53" t="str">
        <f t="shared" si="15"/>
        <v>kimaya</v>
      </c>
      <c r="H90" s="53" t="str">
        <f t="shared" si="16"/>
        <v>Kimaya</v>
      </c>
      <c r="I90" s="53" t="str">
        <f t="shared" si="17"/>
        <v>ED-00087</v>
      </c>
      <c r="K90" s="53" t="s">
        <v>432</v>
      </c>
      <c r="L90" s="51">
        <f t="shared" si="18"/>
        <v>8</v>
      </c>
      <c r="M90" s="55" t="str">
        <f t="shared" si="19"/>
        <v>ID</v>
      </c>
      <c r="N90" s="55" t="str">
        <f t="shared" si="20"/>
        <v>-</v>
      </c>
      <c r="O90" s="55" t="str">
        <f t="shared" si="21"/>
        <v>7</v>
      </c>
      <c r="P90" s="53" t="str">
        <f t="shared" si="22"/>
        <v>ID-7</v>
      </c>
    </row>
    <row r="91" spans="1:16" s="45" customFormat="1" ht="14.4">
      <c r="A91" s="53" t="s">
        <v>431</v>
      </c>
      <c r="B91" s="53" t="s">
        <v>214</v>
      </c>
      <c r="C91" s="53" t="s">
        <v>130</v>
      </c>
      <c r="D91" s="54">
        <v>44631</v>
      </c>
      <c r="E91" s="54" t="str">
        <f t="shared" si="13"/>
        <v>Krisha</v>
      </c>
      <c r="F91" s="53" t="str">
        <f t="shared" si="14"/>
        <v>KRISHA</v>
      </c>
      <c r="G91" s="53" t="str">
        <f t="shared" si="15"/>
        <v>krisha</v>
      </c>
      <c r="H91" s="53" t="str">
        <f t="shared" si="16"/>
        <v>Krisha</v>
      </c>
      <c r="I91" s="53" t="str">
        <f t="shared" si="17"/>
        <v>ED-00088</v>
      </c>
      <c r="K91" s="53" t="s">
        <v>431</v>
      </c>
      <c r="L91" s="51">
        <f t="shared" si="18"/>
        <v>8</v>
      </c>
      <c r="M91" s="55" t="str">
        <f t="shared" si="19"/>
        <v>ID</v>
      </c>
      <c r="N91" s="55" t="str">
        <f t="shared" si="20"/>
        <v>-</v>
      </c>
      <c r="O91" s="55" t="str">
        <f t="shared" si="21"/>
        <v>8</v>
      </c>
      <c r="P91" s="53" t="str">
        <f t="shared" si="22"/>
        <v>ID-8</v>
      </c>
    </row>
    <row r="92" spans="1:16" s="45" customFormat="1" ht="14.4">
      <c r="A92" s="53" t="s">
        <v>430</v>
      </c>
      <c r="B92" s="53" t="s">
        <v>216</v>
      </c>
      <c r="C92" s="53" t="s">
        <v>130</v>
      </c>
      <c r="D92" s="54">
        <v>44392</v>
      </c>
      <c r="E92" s="54" t="str">
        <f t="shared" si="13"/>
        <v>Larisa</v>
      </c>
      <c r="F92" s="53" t="str">
        <f t="shared" si="14"/>
        <v>LARISA</v>
      </c>
      <c r="G92" s="53" t="str">
        <f t="shared" si="15"/>
        <v>larisa</v>
      </c>
      <c r="H92" s="53" t="str">
        <f t="shared" si="16"/>
        <v>Larisa</v>
      </c>
      <c r="I92" s="53" t="str">
        <f t="shared" si="17"/>
        <v>ED-00089</v>
      </c>
      <c r="K92" s="53" t="s">
        <v>430</v>
      </c>
      <c r="L92" s="51">
        <f t="shared" si="18"/>
        <v>8</v>
      </c>
      <c r="M92" s="55" t="str">
        <f t="shared" si="19"/>
        <v>ID</v>
      </c>
      <c r="N92" s="55" t="str">
        <f t="shared" si="20"/>
        <v>-</v>
      </c>
      <c r="O92" s="55" t="str">
        <f t="shared" si="21"/>
        <v>9</v>
      </c>
      <c r="P92" s="53" t="str">
        <f t="shared" si="22"/>
        <v>ID-9</v>
      </c>
    </row>
    <row r="93" spans="1:16" s="45" customFormat="1" ht="14.4">
      <c r="A93" s="53" t="s">
        <v>429</v>
      </c>
      <c r="B93" s="53" t="s">
        <v>218</v>
      </c>
      <c r="C93" s="53" t="s">
        <v>130</v>
      </c>
      <c r="D93" s="54">
        <v>44504</v>
      </c>
      <c r="E93" s="54" t="str">
        <f t="shared" si="13"/>
        <v>Mahika</v>
      </c>
      <c r="F93" s="53" t="str">
        <f t="shared" si="14"/>
        <v>MAHIKA</v>
      </c>
      <c r="G93" s="53" t="str">
        <f t="shared" si="15"/>
        <v>mahika</v>
      </c>
      <c r="H93" s="53" t="str">
        <f t="shared" si="16"/>
        <v>Mahika</v>
      </c>
      <c r="I93" s="53" t="str">
        <f t="shared" si="17"/>
        <v>ED-00090</v>
      </c>
      <c r="K93" s="53" t="s">
        <v>429</v>
      </c>
      <c r="L93" s="51">
        <f t="shared" si="18"/>
        <v>8</v>
      </c>
      <c r="M93" s="55" t="str">
        <f t="shared" si="19"/>
        <v>ID</v>
      </c>
      <c r="N93" s="55" t="str">
        <f t="shared" si="20"/>
        <v>-</v>
      </c>
      <c r="O93" s="55" t="str">
        <f t="shared" si="21"/>
        <v>0</v>
      </c>
      <c r="P93" s="53" t="str">
        <f t="shared" si="22"/>
        <v>ID-0</v>
      </c>
    </row>
    <row r="94" spans="1:16" s="45" customFormat="1" ht="14.4">
      <c r="A94" s="53" t="s">
        <v>428</v>
      </c>
      <c r="B94" s="53" t="s">
        <v>220</v>
      </c>
      <c r="C94" s="53" t="s">
        <v>130</v>
      </c>
      <c r="D94" s="54">
        <v>44735</v>
      </c>
      <c r="E94" s="54" t="str">
        <f t="shared" si="13"/>
        <v>Mayra</v>
      </c>
      <c r="F94" s="53" t="str">
        <f t="shared" si="14"/>
        <v>MAYRA</v>
      </c>
      <c r="G94" s="53" t="str">
        <f t="shared" si="15"/>
        <v>mayra</v>
      </c>
      <c r="H94" s="53" t="str">
        <f t="shared" si="16"/>
        <v>Mayra</v>
      </c>
      <c r="I94" s="53" t="str">
        <f t="shared" si="17"/>
        <v>ED-00091</v>
      </c>
      <c r="K94" s="53" t="s">
        <v>428</v>
      </c>
      <c r="L94" s="51">
        <f t="shared" si="18"/>
        <v>8</v>
      </c>
      <c r="M94" s="55" t="str">
        <f t="shared" si="19"/>
        <v>ID</v>
      </c>
      <c r="N94" s="55" t="str">
        <f t="shared" si="20"/>
        <v>-</v>
      </c>
      <c r="O94" s="55" t="str">
        <f t="shared" si="21"/>
        <v>1</v>
      </c>
      <c r="P94" s="53" t="str">
        <f t="shared" si="22"/>
        <v>ID-1</v>
      </c>
    </row>
    <row r="95" spans="1:16" s="45" customFormat="1" ht="14.4">
      <c r="A95" s="53" t="s">
        <v>427</v>
      </c>
      <c r="B95" s="53" t="s">
        <v>222</v>
      </c>
      <c r="C95" s="53" t="s">
        <v>65</v>
      </c>
      <c r="D95" s="54">
        <v>45014</v>
      </c>
      <c r="E95" s="54" t="str">
        <f t="shared" si="13"/>
        <v>Mehar</v>
      </c>
      <c r="F95" s="53" t="str">
        <f t="shared" si="14"/>
        <v>MEHAR</v>
      </c>
      <c r="G95" s="53" t="str">
        <f t="shared" si="15"/>
        <v>mehar</v>
      </c>
      <c r="H95" s="53" t="str">
        <f t="shared" si="16"/>
        <v>Mehar</v>
      </c>
      <c r="I95" s="53" t="str">
        <f t="shared" si="17"/>
        <v>ED-00092</v>
      </c>
      <c r="K95" s="53" t="s">
        <v>427</v>
      </c>
      <c r="L95" s="51">
        <f t="shared" si="18"/>
        <v>8</v>
      </c>
      <c r="M95" s="55" t="str">
        <f t="shared" si="19"/>
        <v>ID</v>
      </c>
      <c r="N95" s="55" t="str">
        <f t="shared" si="20"/>
        <v>-</v>
      </c>
      <c r="O95" s="55" t="str">
        <f t="shared" si="21"/>
        <v>2</v>
      </c>
      <c r="P95" s="53" t="str">
        <f t="shared" si="22"/>
        <v>ID-2</v>
      </c>
    </row>
    <row r="96" spans="1:16" s="45" customFormat="1" ht="14.4">
      <c r="A96" s="53" t="s">
        <v>426</v>
      </c>
      <c r="B96" s="53" t="s">
        <v>224</v>
      </c>
      <c r="C96" s="53" t="s">
        <v>65</v>
      </c>
      <c r="D96" s="54">
        <v>44866</v>
      </c>
      <c r="E96" s="54" t="str">
        <f t="shared" si="13"/>
        <v>Mirai</v>
      </c>
      <c r="F96" s="53" t="str">
        <f t="shared" si="14"/>
        <v>MIRAI</v>
      </c>
      <c r="G96" s="53" t="str">
        <f t="shared" si="15"/>
        <v>mirai</v>
      </c>
      <c r="H96" s="53" t="str">
        <f t="shared" si="16"/>
        <v>Mirai</v>
      </c>
      <c r="I96" s="53" t="str">
        <f t="shared" si="17"/>
        <v>ED-00093</v>
      </c>
      <c r="K96" s="53" t="s">
        <v>426</v>
      </c>
      <c r="L96" s="51">
        <f t="shared" si="18"/>
        <v>8</v>
      </c>
      <c r="M96" s="55" t="str">
        <f t="shared" si="19"/>
        <v>ID</v>
      </c>
      <c r="N96" s="55" t="str">
        <f t="shared" si="20"/>
        <v>-</v>
      </c>
      <c r="O96" s="55" t="str">
        <f t="shared" si="21"/>
        <v>3</v>
      </c>
      <c r="P96" s="53" t="str">
        <f t="shared" si="22"/>
        <v>ID-3</v>
      </c>
    </row>
    <row r="97" spans="1:16" s="45" customFormat="1" ht="14.4">
      <c r="A97" s="53" t="s">
        <v>425</v>
      </c>
      <c r="B97" s="53" t="s">
        <v>226</v>
      </c>
      <c r="C97" s="53" t="s">
        <v>65</v>
      </c>
      <c r="D97" s="54">
        <v>44819</v>
      </c>
      <c r="E97" s="54" t="str">
        <f t="shared" si="13"/>
        <v>Mishka</v>
      </c>
      <c r="F97" s="53" t="str">
        <f t="shared" si="14"/>
        <v>MISHKA</v>
      </c>
      <c r="G97" s="53" t="str">
        <f t="shared" si="15"/>
        <v>mishka</v>
      </c>
      <c r="H97" s="53" t="str">
        <f t="shared" si="16"/>
        <v>Mishka</v>
      </c>
      <c r="I97" s="53" t="str">
        <f t="shared" si="17"/>
        <v>ED-00094</v>
      </c>
      <c r="K97" s="53" t="s">
        <v>425</v>
      </c>
      <c r="L97" s="51">
        <f t="shared" si="18"/>
        <v>8</v>
      </c>
      <c r="M97" s="55" t="str">
        <f t="shared" si="19"/>
        <v>ID</v>
      </c>
      <c r="N97" s="55" t="str">
        <f t="shared" si="20"/>
        <v>-</v>
      </c>
      <c r="O97" s="55" t="str">
        <f t="shared" si="21"/>
        <v>4</v>
      </c>
      <c r="P97" s="53" t="str">
        <f t="shared" si="22"/>
        <v>ID-4</v>
      </c>
    </row>
    <row r="98" spans="1:16" s="45" customFormat="1" ht="14.4">
      <c r="A98" s="53" t="s">
        <v>424</v>
      </c>
      <c r="B98" s="53" t="s">
        <v>228</v>
      </c>
      <c r="C98" s="53" t="s">
        <v>58</v>
      </c>
      <c r="D98" s="54">
        <v>44897</v>
      </c>
      <c r="E98" s="54" t="str">
        <f t="shared" si="13"/>
        <v>Naitee</v>
      </c>
      <c r="F98" s="53" t="str">
        <f t="shared" si="14"/>
        <v>NAITEE</v>
      </c>
      <c r="G98" s="53" t="str">
        <f t="shared" si="15"/>
        <v>naitee</v>
      </c>
      <c r="H98" s="53" t="str">
        <f t="shared" si="16"/>
        <v>Naitee</v>
      </c>
      <c r="I98" s="53" t="str">
        <f t="shared" si="17"/>
        <v>ED-00095</v>
      </c>
      <c r="K98" s="53" t="s">
        <v>424</v>
      </c>
      <c r="L98" s="51">
        <f t="shared" si="18"/>
        <v>8</v>
      </c>
      <c r="M98" s="55" t="str">
        <f t="shared" si="19"/>
        <v>ID</v>
      </c>
      <c r="N98" s="55" t="str">
        <f t="shared" si="20"/>
        <v>-</v>
      </c>
      <c r="O98" s="55" t="str">
        <f t="shared" si="21"/>
        <v>5</v>
      </c>
      <c r="P98" s="53" t="str">
        <f t="shared" si="22"/>
        <v>ID-5</v>
      </c>
    </row>
    <row r="99" spans="1:16" s="45" customFormat="1" ht="14.4">
      <c r="A99" s="53" t="s">
        <v>423</v>
      </c>
      <c r="B99" s="53" t="s">
        <v>230</v>
      </c>
      <c r="C99" s="53" t="s">
        <v>58</v>
      </c>
      <c r="D99" s="54">
        <v>44485</v>
      </c>
      <c r="E99" s="54" t="str">
        <f t="shared" si="13"/>
        <v>Navya</v>
      </c>
      <c r="F99" s="53" t="str">
        <f t="shared" si="14"/>
        <v>NAVYA</v>
      </c>
      <c r="G99" s="53" t="str">
        <f t="shared" si="15"/>
        <v>navya</v>
      </c>
      <c r="H99" s="53" t="str">
        <f t="shared" si="16"/>
        <v>Navya</v>
      </c>
      <c r="I99" s="53" t="str">
        <f t="shared" si="17"/>
        <v>ED-00096</v>
      </c>
      <c r="K99" s="53" t="s">
        <v>423</v>
      </c>
      <c r="L99" s="51">
        <f t="shared" si="18"/>
        <v>8</v>
      </c>
      <c r="M99" s="55" t="str">
        <f t="shared" si="19"/>
        <v>ID</v>
      </c>
      <c r="N99" s="55" t="str">
        <f t="shared" si="20"/>
        <v>-</v>
      </c>
      <c r="O99" s="55" t="str">
        <f t="shared" si="21"/>
        <v>6</v>
      </c>
      <c r="P99" s="53" t="str">
        <f t="shared" si="22"/>
        <v>ID-6</v>
      </c>
    </row>
    <row r="100" spans="1:16" s="45" customFormat="1" ht="14.4">
      <c r="A100" s="53" t="s">
        <v>422</v>
      </c>
      <c r="B100" s="53" t="s">
        <v>232</v>
      </c>
      <c r="C100" s="53" t="s">
        <v>58</v>
      </c>
      <c r="D100" s="54">
        <v>44951</v>
      </c>
      <c r="E100" s="54" t="str">
        <f t="shared" si="13"/>
        <v>Nehrika</v>
      </c>
      <c r="F100" s="53" t="str">
        <f t="shared" si="14"/>
        <v>NEHRIKA</v>
      </c>
      <c r="G100" s="53" t="str">
        <f t="shared" si="15"/>
        <v>nehrika</v>
      </c>
      <c r="H100" s="53" t="str">
        <f t="shared" si="16"/>
        <v>Nehrika</v>
      </c>
      <c r="I100" s="53" t="str">
        <f t="shared" si="17"/>
        <v>ED-00097</v>
      </c>
      <c r="K100" s="53" t="s">
        <v>422</v>
      </c>
      <c r="L100" s="51">
        <f t="shared" si="18"/>
        <v>8</v>
      </c>
      <c r="M100" s="55" t="str">
        <f t="shared" si="19"/>
        <v>ID</v>
      </c>
      <c r="N100" s="55" t="str">
        <f t="shared" si="20"/>
        <v>-</v>
      </c>
      <c r="O100" s="55" t="str">
        <f t="shared" si="21"/>
        <v>7</v>
      </c>
      <c r="P100" s="53" t="str">
        <f t="shared" si="22"/>
        <v>ID-7</v>
      </c>
    </row>
    <row r="101" spans="1:16" s="45" customFormat="1" ht="14.4">
      <c r="A101" s="53"/>
      <c r="B101" s="53"/>
      <c r="C101" s="53"/>
      <c r="D101" s="54"/>
      <c r="E101" s="54"/>
      <c r="F101" s="53"/>
      <c r="G101" s="53"/>
      <c r="H101" s="53"/>
      <c r="I101" s="53"/>
      <c r="K101" s="53" t="s">
        <v>421</v>
      </c>
      <c r="L101" s="51">
        <f t="shared" si="18"/>
        <v>8</v>
      </c>
      <c r="M101" s="55" t="str">
        <f t="shared" si="19"/>
        <v>ID</v>
      </c>
      <c r="N101" s="55" t="str">
        <f t="shared" si="20"/>
        <v>-</v>
      </c>
      <c r="O101" s="55" t="str">
        <f t="shared" si="21"/>
        <v>8</v>
      </c>
      <c r="P101" s="53" t="str">
        <f t="shared" si="22"/>
        <v>ID-8</v>
      </c>
    </row>
    <row r="102" spans="1:16" s="45" customFormat="1" ht="14.4">
      <c r="A102" s="53"/>
      <c r="B102" s="53"/>
      <c r="C102" s="53"/>
      <c r="D102" s="54"/>
      <c r="E102" s="54"/>
      <c r="F102" s="53"/>
      <c r="G102" s="53"/>
      <c r="H102" s="53"/>
      <c r="I102" s="53"/>
      <c r="K102" s="53" t="s">
        <v>420</v>
      </c>
      <c r="L102" s="51">
        <f t="shared" si="18"/>
        <v>8</v>
      </c>
      <c r="M102" s="55" t="str">
        <f t="shared" si="19"/>
        <v>ID</v>
      </c>
      <c r="N102" s="55" t="str">
        <f t="shared" si="20"/>
        <v>-</v>
      </c>
      <c r="O102" s="55" t="str">
        <f t="shared" si="21"/>
        <v>9</v>
      </c>
      <c r="P102" s="53" t="str">
        <f t="shared" si="22"/>
        <v>ID-9</v>
      </c>
    </row>
    <row r="103" spans="1:16" s="45" customFormat="1" ht="14.4">
      <c r="A103" s="53"/>
      <c r="B103" s="53"/>
      <c r="C103" s="53"/>
      <c r="D103" s="54"/>
      <c r="E103" s="54"/>
      <c r="F103" s="53"/>
      <c r="G103" s="53"/>
      <c r="H103" s="53"/>
      <c r="I103" s="53"/>
      <c r="K103" s="53" t="s">
        <v>419</v>
      </c>
      <c r="L103" s="51">
        <f t="shared" si="18"/>
        <v>8</v>
      </c>
      <c r="M103" s="55" t="str">
        <f t="shared" si="19"/>
        <v>ID</v>
      </c>
      <c r="N103" s="55" t="str">
        <f t="shared" si="20"/>
        <v>-</v>
      </c>
      <c r="O103" s="55" t="str">
        <f t="shared" si="21"/>
        <v>0</v>
      </c>
      <c r="P103" s="53" t="str">
        <f t="shared" si="22"/>
        <v>ID-0</v>
      </c>
    </row>
    <row r="104" spans="1:16" s="45" customFormat="1" ht="14.4">
      <c r="A104" s="53"/>
      <c r="B104" s="53"/>
      <c r="C104" s="53"/>
      <c r="D104" s="54"/>
      <c r="E104" s="54"/>
      <c r="F104" s="53"/>
      <c r="G104" s="53"/>
      <c r="H104" s="53"/>
      <c r="I104" s="53"/>
      <c r="K104" s="53"/>
      <c r="L104" s="51"/>
      <c r="M104" s="55"/>
      <c r="N104" s="55"/>
      <c r="O104" s="55"/>
      <c r="P104" s="53"/>
    </row>
    <row r="105" spans="1:16" s="45" customFormat="1" ht="14.4">
      <c r="A105" s="53"/>
      <c r="B105" s="53"/>
      <c r="C105" s="53"/>
      <c r="D105" s="54"/>
      <c r="E105" s="54"/>
      <c r="F105" s="53"/>
      <c r="G105" s="53"/>
      <c r="H105" s="53"/>
      <c r="I105" s="53"/>
      <c r="K105" s="53"/>
      <c r="L105" s="51"/>
      <c r="M105" s="55"/>
      <c r="N105" s="55"/>
      <c r="O105" s="55"/>
      <c r="P105" s="53"/>
    </row>
    <row r="106" spans="1:16" s="45" customFormat="1" ht="14.4">
      <c r="A106" s="53"/>
      <c r="B106" s="53"/>
      <c r="C106" s="53"/>
      <c r="D106" s="54"/>
      <c r="E106" s="54"/>
      <c r="F106" s="53"/>
      <c r="G106" s="53"/>
      <c r="H106" s="53"/>
      <c r="I106" s="53"/>
      <c r="K106" s="53"/>
      <c r="L106" s="51"/>
      <c r="M106" s="55"/>
      <c r="N106" s="55"/>
      <c r="O106" s="55"/>
      <c r="P106" s="53"/>
    </row>
    <row r="107" spans="1:16" s="45" customFormat="1" ht="14.4">
      <c r="A107" s="53"/>
      <c r="B107" s="53"/>
      <c r="C107" s="53"/>
      <c r="D107" s="54"/>
      <c r="E107" s="54"/>
      <c r="F107" s="53"/>
      <c r="G107" s="53"/>
      <c r="H107" s="53"/>
      <c r="I107" s="53"/>
      <c r="K107" s="53"/>
      <c r="L107" s="51"/>
      <c r="M107" s="55"/>
      <c r="N107" s="55"/>
      <c r="O107" s="55"/>
      <c r="P107" s="53"/>
    </row>
    <row r="108" spans="1:16" s="45" customFormat="1" ht="14.4">
      <c r="A108" s="53"/>
      <c r="B108" s="53"/>
      <c r="C108" s="53"/>
      <c r="D108" s="54"/>
      <c r="E108" s="54"/>
      <c r="F108" s="53"/>
      <c r="G108" s="53"/>
      <c r="H108" s="53"/>
      <c r="I108" s="53"/>
      <c r="K108" s="53"/>
      <c r="L108" s="51"/>
      <c r="M108" s="55"/>
      <c r="N108" s="55"/>
      <c r="O108" s="55"/>
      <c r="P108" s="53"/>
    </row>
    <row r="109" spans="1:16" s="45" customFormat="1" ht="14.4">
      <c r="A109" s="53"/>
      <c r="B109" s="53"/>
      <c r="C109" s="53"/>
      <c r="D109" s="54"/>
      <c r="E109" s="54"/>
      <c r="F109" s="53"/>
      <c r="G109" s="53"/>
      <c r="H109" s="53"/>
      <c r="I109" s="53"/>
      <c r="K109" s="53"/>
      <c r="L109" s="51"/>
      <c r="M109" s="55"/>
      <c r="N109" s="55"/>
      <c r="O109" s="55"/>
      <c r="P109" s="53"/>
    </row>
    <row r="110" spans="1:16" s="45" customFormat="1" ht="14.4">
      <c r="A110" s="53"/>
      <c r="B110" s="53"/>
      <c r="C110" s="53"/>
      <c r="D110" s="54"/>
      <c r="E110" s="54"/>
      <c r="F110" s="53"/>
      <c r="G110" s="53"/>
      <c r="H110" s="53"/>
      <c r="I110" s="53"/>
      <c r="K110" s="53"/>
      <c r="L110" s="51"/>
      <c r="M110" s="55"/>
      <c r="N110" s="55"/>
      <c r="O110" s="55"/>
      <c r="P110" s="53"/>
    </row>
    <row r="111" spans="1:16" s="45" customFormat="1" ht="14.4">
      <c r="A111" s="53"/>
      <c r="B111" s="53"/>
      <c r="C111" s="53"/>
      <c r="D111" s="54"/>
      <c r="E111" s="54"/>
      <c r="F111" s="53"/>
      <c r="G111" s="53"/>
      <c r="H111" s="53"/>
      <c r="I111" s="53"/>
      <c r="K111" s="53"/>
      <c r="L111" s="51"/>
      <c r="M111" s="55"/>
      <c r="N111" s="55"/>
      <c r="O111" s="55"/>
      <c r="P111" s="53"/>
    </row>
    <row r="112" spans="1:16" s="45" customFormat="1" ht="14.4">
      <c r="A112" s="53"/>
      <c r="B112" s="53"/>
      <c r="C112" s="53"/>
      <c r="D112" s="54"/>
      <c r="E112" s="54"/>
      <c r="F112" s="53"/>
      <c r="G112" s="53"/>
      <c r="H112" s="53"/>
      <c r="I112" s="53"/>
      <c r="K112" s="53"/>
      <c r="L112" s="51"/>
      <c r="M112" s="55"/>
      <c r="N112" s="55"/>
      <c r="O112" s="55"/>
      <c r="P112" s="53"/>
    </row>
    <row r="113" spans="1:16" s="45" customFormat="1" ht="14.4">
      <c r="A113" s="53"/>
      <c r="B113" s="53"/>
      <c r="C113" s="53"/>
      <c r="D113" s="54"/>
      <c r="E113" s="54"/>
      <c r="F113" s="53"/>
      <c r="G113" s="53"/>
      <c r="H113" s="53"/>
      <c r="I113" s="53"/>
      <c r="K113" s="53"/>
      <c r="L113" s="51"/>
      <c r="M113" s="55"/>
      <c r="N113" s="55"/>
      <c r="O113" s="55"/>
      <c r="P113" s="53"/>
    </row>
    <row r="114" spans="1:16" s="45" customFormat="1" ht="14.4">
      <c r="A114" s="53"/>
      <c r="B114" s="53"/>
      <c r="C114" s="53"/>
      <c r="D114" s="54"/>
      <c r="E114" s="54"/>
      <c r="F114" s="53"/>
      <c r="G114" s="53"/>
      <c r="H114" s="53"/>
      <c r="I114" s="53"/>
      <c r="K114" s="53"/>
      <c r="L114" s="51"/>
      <c r="M114" s="55"/>
      <c r="N114" s="55"/>
      <c r="O114" s="55"/>
      <c r="P114" s="53"/>
    </row>
    <row r="115" spans="1:16" s="45" customFormat="1" ht="14.4">
      <c r="A115" s="53"/>
      <c r="B115" s="53"/>
      <c r="C115" s="53"/>
      <c r="D115" s="54"/>
      <c r="E115" s="54"/>
      <c r="F115" s="53"/>
      <c r="G115" s="53"/>
      <c r="H115" s="53"/>
      <c r="I115" s="53"/>
      <c r="K115" s="53"/>
      <c r="L115" s="51"/>
      <c r="M115" s="55"/>
      <c r="N115" s="55"/>
      <c r="O115" s="55"/>
      <c r="P115" s="53"/>
    </row>
    <row r="116" spans="1:16" s="45" customFormat="1" ht="14.4">
      <c r="A116" s="53"/>
      <c r="B116" s="53"/>
      <c r="C116" s="53"/>
      <c r="D116" s="54"/>
      <c r="E116" s="54"/>
      <c r="F116" s="53"/>
      <c r="G116" s="53"/>
      <c r="H116" s="53"/>
      <c r="I116" s="53"/>
      <c r="K116" s="53"/>
      <c r="L116" s="51"/>
      <c r="M116" s="55"/>
      <c r="N116" s="55"/>
      <c r="O116" s="55"/>
      <c r="P116" s="53"/>
    </row>
    <row r="117" spans="1:16" s="45" customFormat="1" ht="14.4">
      <c r="A117" s="53"/>
      <c r="B117" s="53"/>
      <c r="C117" s="53"/>
      <c r="D117" s="54"/>
      <c r="E117" s="54"/>
      <c r="F117" s="53"/>
      <c r="G117" s="53"/>
      <c r="H117" s="53"/>
      <c r="I117" s="53"/>
      <c r="K117" s="53"/>
      <c r="L117" s="51"/>
      <c r="M117" s="55"/>
      <c r="N117" s="55"/>
      <c r="O117" s="55"/>
      <c r="P117" s="53"/>
    </row>
    <row r="118" spans="1:16" s="45" customFormat="1" ht="14.4">
      <c r="A118" s="53"/>
      <c r="B118" s="53"/>
      <c r="C118" s="53"/>
      <c r="D118" s="54"/>
      <c r="E118" s="54"/>
      <c r="F118" s="53"/>
      <c r="G118" s="53"/>
      <c r="H118" s="53"/>
      <c r="I118" s="53"/>
      <c r="K118" s="53"/>
      <c r="L118" s="51"/>
      <c r="M118" s="55"/>
      <c r="N118" s="55"/>
      <c r="O118" s="55"/>
      <c r="P118" s="53"/>
    </row>
    <row r="119" spans="1:16" s="45" customFormat="1" ht="14.4">
      <c r="A119" s="53"/>
      <c r="B119" s="53"/>
      <c r="C119" s="53"/>
      <c r="D119" s="54"/>
      <c r="E119" s="54"/>
      <c r="F119" s="53"/>
      <c r="G119" s="53"/>
      <c r="H119" s="53"/>
      <c r="I119" s="53"/>
      <c r="K119" s="53"/>
      <c r="L119" s="51"/>
      <c r="M119" s="55"/>
      <c r="N119" s="55"/>
      <c r="O119" s="55"/>
      <c r="P119" s="53"/>
    </row>
    <row r="120" spans="1:16" s="45" customFormat="1" ht="14.4">
      <c r="A120" s="53"/>
      <c r="B120" s="53"/>
      <c r="C120" s="53"/>
      <c r="D120" s="54"/>
      <c r="E120" s="54"/>
      <c r="F120" s="53"/>
      <c r="G120" s="53"/>
      <c r="H120" s="53"/>
      <c r="I120" s="53"/>
      <c r="K120" s="53"/>
      <c r="L120" s="51"/>
      <c r="M120" s="55"/>
      <c r="N120" s="55"/>
      <c r="O120" s="55"/>
      <c r="P120" s="53"/>
    </row>
    <row r="121" spans="1:16" s="45" customFormat="1" ht="14.4">
      <c r="A121" s="53"/>
      <c r="B121" s="53"/>
      <c r="C121" s="53"/>
      <c r="D121" s="54"/>
      <c r="E121" s="54"/>
      <c r="F121" s="53"/>
      <c r="G121" s="53"/>
      <c r="H121" s="53"/>
      <c r="I121" s="53"/>
      <c r="K121" s="53"/>
      <c r="L121" s="51"/>
      <c r="M121" s="55"/>
      <c r="N121" s="55"/>
      <c r="O121" s="55"/>
      <c r="P121" s="53"/>
    </row>
    <row r="122" spans="1:16" s="45" customFormat="1" ht="14.4">
      <c r="A122" s="53"/>
      <c r="B122" s="53"/>
      <c r="C122" s="53"/>
      <c r="D122" s="54"/>
      <c r="E122" s="54"/>
      <c r="F122" s="53"/>
      <c r="G122" s="53"/>
      <c r="H122" s="53"/>
      <c r="I122" s="53"/>
      <c r="K122" s="53"/>
      <c r="L122" s="51"/>
      <c r="M122" s="55"/>
      <c r="N122" s="55"/>
      <c r="O122" s="55"/>
      <c r="P122" s="53"/>
    </row>
    <row r="123" spans="1:16" s="45" customFormat="1" ht="14.4">
      <c r="A123" s="53"/>
      <c r="B123" s="53"/>
      <c r="C123" s="53"/>
      <c r="D123" s="54"/>
      <c r="E123" s="54"/>
      <c r="F123" s="53"/>
      <c r="G123" s="53"/>
      <c r="H123" s="53"/>
      <c r="I123" s="53"/>
      <c r="K123" s="53"/>
      <c r="L123" s="51"/>
      <c r="M123" s="55"/>
      <c r="N123" s="55"/>
      <c r="O123" s="55"/>
      <c r="P123" s="53"/>
    </row>
    <row r="124" spans="1:16" s="45" customFormat="1" ht="14.4">
      <c r="A124" s="53"/>
      <c r="B124" s="53"/>
      <c r="C124" s="53"/>
      <c r="D124" s="54"/>
      <c r="E124" s="54"/>
      <c r="F124" s="53"/>
      <c r="G124" s="53"/>
      <c r="H124" s="53"/>
      <c r="I124" s="53"/>
      <c r="K124" s="53"/>
      <c r="L124" s="51"/>
      <c r="M124" s="55"/>
      <c r="N124" s="55"/>
      <c r="O124" s="55"/>
      <c r="P124" s="53"/>
    </row>
    <row r="125" spans="1:16" s="45" customFormat="1" ht="14.4">
      <c r="A125" s="53"/>
      <c r="B125" s="53"/>
      <c r="C125" s="53"/>
      <c r="D125" s="54"/>
      <c r="E125" s="54"/>
      <c r="F125" s="53"/>
      <c r="G125" s="53"/>
      <c r="H125" s="53"/>
      <c r="I125" s="53"/>
      <c r="K125" s="53"/>
      <c r="L125" s="51"/>
      <c r="M125" s="55"/>
      <c r="N125" s="55"/>
      <c r="O125" s="55"/>
      <c r="P125" s="53"/>
    </row>
    <row r="126" spans="1:16" s="45" customFormat="1" ht="14.4">
      <c r="A126" s="53"/>
      <c r="B126" s="53"/>
      <c r="C126" s="53"/>
      <c r="D126" s="54"/>
      <c r="E126" s="54"/>
      <c r="F126" s="53"/>
      <c r="G126" s="53"/>
      <c r="H126" s="53"/>
      <c r="I126" s="53"/>
      <c r="K126" s="53"/>
      <c r="L126" s="51"/>
      <c r="M126" s="55"/>
      <c r="N126" s="55"/>
      <c r="O126" s="55"/>
      <c r="P126" s="53"/>
    </row>
    <row r="127" spans="1:16" s="45" customFormat="1" ht="14.4">
      <c r="A127" s="53"/>
      <c r="B127" s="53"/>
      <c r="C127" s="53"/>
      <c r="D127" s="54"/>
      <c r="E127" s="54"/>
      <c r="F127" s="53"/>
      <c r="G127" s="53"/>
      <c r="H127" s="53"/>
      <c r="I127" s="53"/>
      <c r="K127" s="53"/>
      <c r="L127" s="51"/>
      <c r="M127" s="55"/>
      <c r="N127" s="55"/>
      <c r="O127" s="55"/>
      <c r="P127" s="53"/>
    </row>
    <row r="128" spans="1:16" s="45" customFormat="1" ht="14.4">
      <c r="A128" s="53"/>
      <c r="B128" s="53"/>
      <c r="C128" s="53"/>
      <c r="D128" s="54"/>
      <c r="E128" s="54"/>
      <c r="F128" s="53"/>
      <c r="G128" s="53"/>
      <c r="H128" s="53"/>
      <c r="I128" s="53"/>
      <c r="K128" s="53"/>
      <c r="L128" s="51"/>
      <c r="M128" s="55"/>
      <c r="N128" s="55"/>
      <c r="O128" s="55"/>
      <c r="P128" s="53"/>
    </row>
    <row r="129" spans="1:16" s="45" customFormat="1" ht="14.4">
      <c r="A129" s="53"/>
      <c r="B129" s="53"/>
      <c r="C129" s="53"/>
      <c r="D129" s="54"/>
      <c r="E129" s="54"/>
      <c r="F129" s="53"/>
      <c r="G129" s="53"/>
      <c r="H129" s="53"/>
      <c r="I129" s="53"/>
      <c r="K129" s="53"/>
      <c r="L129" s="51"/>
      <c r="M129" s="55"/>
      <c r="N129" s="55"/>
      <c r="O129" s="55"/>
      <c r="P129" s="53"/>
    </row>
    <row r="130" spans="1:16" s="45" customFormat="1" ht="14.4">
      <c r="A130" s="53"/>
      <c r="B130" s="53"/>
      <c r="C130" s="53"/>
      <c r="D130" s="54"/>
      <c r="E130" s="54"/>
      <c r="F130" s="53"/>
      <c r="G130" s="53"/>
      <c r="H130" s="53"/>
      <c r="I130" s="53"/>
      <c r="K130" s="53"/>
      <c r="L130" s="51"/>
      <c r="M130" s="55"/>
      <c r="N130" s="55"/>
      <c r="O130" s="55"/>
      <c r="P130" s="53"/>
    </row>
    <row r="131" spans="1:16" s="45" customFormat="1" ht="14.4">
      <c r="A131" s="53"/>
      <c r="B131" s="53"/>
      <c r="C131" s="53"/>
      <c r="D131" s="54"/>
      <c r="E131" s="54"/>
      <c r="F131" s="53"/>
      <c r="G131" s="53"/>
      <c r="H131" s="53"/>
      <c r="I131" s="53"/>
      <c r="K131" s="53"/>
      <c r="L131" s="51"/>
      <c r="M131" s="55"/>
      <c r="N131" s="55"/>
      <c r="O131" s="55"/>
      <c r="P131" s="53"/>
    </row>
    <row r="132" spans="1:16" s="45" customFormat="1" ht="14.4">
      <c r="A132" s="53"/>
      <c r="B132" s="53"/>
      <c r="C132" s="53"/>
      <c r="D132" s="54"/>
      <c r="E132" s="54"/>
      <c r="F132" s="53"/>
      <c r="G132" s="53"/>
      <c r="H132" s="53"/>
      <c r="I132" s="53"/>
      <c r="K132" s="53"/>
      <c r="L132" s="51"/>
      <c r="M132" s="55"/>
      <c r="N132" s="55"/>
      <c r="O132" s="55"/>
      <c r="P132" s="53"/>
    </row>
    <row r="133" spans="1:16" s="45" customFormat="1" ht="14.4">
      <c r="A133" s="53"/>
      <c r="B133" s="53"/>
      <c r="C133" s="53"/>
      <c r="D133" s="54"/>
      <c r="E133" s="54"/>
      <c r="F133" s="53"/>
      <c r="G133" s="53"/>
      <c r="H133" s="53"/>
      <c r="I133" s="53"/>
      <c r="K133" s="53"/>
      <c r="L133" s="51"/>
      <c r="M133" s="55"/>
      <c r="N133" s="55"/>
      <c r="O133" s="55"/>
      <c r="P133" s="53"/>
    </row>
    <row r="134" spans="1:16" s="45" customFormat="1" ht="14.4">
      <c r="A134" s="53"/>
      <c r="B134" s="53"/>
      <c r="C134" s="53"/>
      <c r="D134" s="54"/>
      <c r="E134" s="54"/>
      <c r="F134" s="53"/>
      <c r="G134" s="53"/>
      <c r="H134" s="53"/>
      <c r="I134" s="53"/>
      <c r="K134" s="53"/>
      <c r="L134" s="51"/>
      <c r="M134" s="55"/>
      <c r="N134" s="55"/>
      <c r="O134" s="55"/>
      <c r="P134" s="53"/>
    </row>
    <row r="135" spans="1:16" s="45" customFormat="1" ht="14.4">
      <c r="A135" s="53"/>
      <c r="B135" s="53"/>
      <c r="C135" s="53"/>
      <c r="D135" s="54"/>
      <c r="E135" s="54"/>
      <c r="F135" s="53"/>
      <c r="G135" s="53"/>
      <c r="H135" s="53"/>
      <c r="I135" s="53"/>
      <c r="K135" s="53"/>
      <c r="L135" s="51"/>
      <c r="M135" s="55"/>
      <c r="N135" s="55"/>
      <c r="O135" s="55"/>
      <c r="P135" s="53"/>
    </row>
    <row r="136" spans="1:16" s="45" customFormat="1" ht="14.4">
      <c r="A136" s="53"/>
      <c r="B136" s="53"/>
      <c r="C136" s="53"/>
      <c r="D136" s="54"/>
      <c r="E136" s="54"/>
      <c r="F136" s="53"/>
      <c r="G136" s="53"/>
      <c r="H136" s="53"/>
      <c r="I136" s="53"/>
      <c r="K136" s="53"/>
      <c r="L136" s="51"/>
      <c r="M136" s="55"/>
      <c r="N136" s="55"/>
      <c r="O136" s="55"/>
      <c r="P136" s="53"/>
    </row>
    <row r="137" spans="1:16" s="45" customFormat="1" ht="14.4">
      <c r="A137" s="53"/>
      <c r="B137" s="53"/>
      <c r="C137" s="53"/>
      <c r="D137" s="54"/>
      <c r="E137" s="54"/>
      <c r="F137" s="53"/>
      <c r="G137" s="53"/>
      <c r="H137" s="53"/>
      <c r="I137" s="53"/>
      <c r="K137" s="53"/>
      <c r="L137" s="51"/>
      <c r="M137" s="55"/>
      <c r="N137" s="55"/>
      <c r="O137" s="55"/>
      <c r="P137" s="53"/>
    </row>
    <row r="138" spans="1:16" s="45" customFormat="1" ht="14.4">
      <c r="A138" s="53"/>
      <c r="B138" s="53"/>
      <c r="C138" s="53"/>
      <c r="D138" s="54"/>
      <c r="E138" s="54"/>
      <c r="F138" s="53"/>
      <c r="G138" s="53"/>
      <c r="H138" s="53"/>
      <c r="I138" s="53"/>
      <c r="K138" s="53"/>
      <c r="L138" s="51"/>
      <c r="M138" s="55"/>
      <c r="N138" s="55"/>
      <c r="O138" s="55"/>
      <c r="P138" s="53"/>
    </row>
    <row r="139" spans="1:16" s="45" customFormat="1" ht="14.4">
      <c r="A139" s="53"/>
      <c r="B139" s="53"/>
      <c r="C139" s="53"/>
      <c r="D139" s="54"/>
      <c r="E139" s="54"/>
      <c r="F139" s="53"/>
      <c r="G139" s="53"/>
      <c r="H139" s="53"/>
      <c r="I139" s="53"/>
      <c r="K139" s="53"/>
      <c r="L139" s="51"/>
      <c r="M139" s="55"/>
      <c r="N139" s="55"/>
      <c r="O139" s="55"/>
      <c r="P139" s="53"/>
    </row>
    <row r="140" spans="1:16" s="45" customFormat="1" ht="14.4">
      <c r="A140" s="53"/>
      <c r="B140" s="53"/>
      <c r="C140" s="53"/>
      <c r="D140" s="54"/>
      <c r="E140" s="54"/>
      <c r="F140" s="53"/>
      <c r="G140" s="53"/>
      <c r="H140" s="53"/>
      <c r="I140" s="53"/>
      <c r="K140" s="53"/>
      <c r="L140" s="51"/>
      <c r="M140" s="55"/>
      <c r="N140" s="55"/>
      <c r="O140" s="55"/>
      <c r="P140" s="53"/>
    </row>
    <row r="141" spans="1:16" s="45" customFormat="1" ht="14.4">
      <c r="A141" s="53"/>
      <c r="B141" s="53"/>
      <c r="C141" s="53"/>
      <c r="D141" s="54"/>
      <c r="E141" s="54"/>
      <c r="F141" s="53"/>
      <c r="G141" s="53"/>
      <c r="H141" s="53"/>
      <c r="I141" s="53"/>
      <c r="K141" s="53"/>
      <c r="L141" s="51"/>
      <c r="M141" s="55"/>
      <c r="N141" s="55"/>
      <c r="O141" s="55"/>
      <c r="P141" s="53"/>
    </row>
    <row r="142" spans="1:16" s="45" customFormat="1" ht="14.4">
      <c r="A142" s="53"/>
      <c r="B142" s="53"/>
      <c r="C142" s="53"/>
      <c r="D142" s="54"/>
      <c r="E142" s="54"/>
      <c r="F142" s="53"/>
      <c r="G142" s="53"/>
      <c r="H142" s="53"/>
      <c r="I142" s="53"/>
      <c r="K142" s="53"/>
      <c r="L142" s="51"/>
      <c r="M142" s="55"/>
      <c r="N142" s="55"/>
      <c r="O142" s="55"/>
      <c r="P142" s="53"/>
    </row>
    <row r="143" spans="1:16" s="45" customFormat="1" ht="14.4">
      <c r="A143" s="53"/>
      <c r="B143" s="53"/>
      <c r="C143" s="53"/>
      <c r="D143" s="54"/>
      <c r="E143" s="54"/>
      <c r="F143" s="53"/>
      <c r="G143" s="53"/>
      <c r="H143" s="53"/>
      <c r="I143" s="53"/>
      <c r="K143" s="53"/>
      <c r="L143" s="51"/>
      <c r="M143" s="55"/>
      <c r="N143" s="55"/>
      <c r="O143" s="55"/>
      <c r="P143" s="53"/>
    </row>
    <row r="144" spans="1:16" s="45" customFormat="1" ht="14.4">
      <c r="A144" s="53"/>
      <c r="B144" s="53"/>
      <c r="C144" s="53"/>
      <c r="D144" s="54"/>
      <c r="E144" s="54"/>
      <c r="F144" s="53"/>
      <c r="G144" s="53"/>
      <c r="H144" s="53"/>
      <c r="I144" s="53"/>
      <c r="K144" s="53"/>
      <c r="L144" s="51"/>
      <c r="M144" s="55"/>
      <c r="N144" s="55"/>
      <c r="O144" s="55"/>
      <c r="P144" s="53"/>
    </row>
    <row r="145" spans="1:16" s="45" customFormat="1" ht="14.4">
      <c r="A145" s="53"/>
      <c r="B145" s="53"/>
      <c r="C145" s="53"/>
      <c r="D145" s="54"/>
      <c r="E145" s="54"/>
      <c r="F145" s="53"/>
      <c r="G145" s="53"/>
      <c r="H145" s="53"/>
      <c r="I145" s="53"/>
      <c r="K145" s="53"/>
      <c r="L145" s="51"/>
      <c r="M145" s="55"/>
      <c r="N145" s="55"/>
      <c r="O145" s="55"/>
      <c r="P145" s="53"/>
    </row>
    <row r="146" spans="1:16" s="45" customFormat="1" ht="14.4">
      <c r="A146" s="53"/>
      <c r="B146" s="53"/>
      <c r="C146" s="53"/>
      <c r="D146" s="54"/>
      <c r="E146" s="54"/>
      <c r="F146" s="53"/>
      <c r="G146" s="53"/>
      <c r="H146" s="53"/>
      <c r="I146" s="53"/>
      <c r="K146" s="53"/>
      <c r="L146" s="51"/>
      <c r="M146" s="55"/>
      <c r="N146" s="55"/>
      <c r="O146" s="55"/>
      <c r="P146" s="53"/>
    </row>
    <row r="147" spans="1:16" s="45" customFormat="1" ht="14.4">
      <c r="A147" s="53"/>
      <c r="B147" s="53"/>
      <c r="C147" s="53"/>
      <c r="D147" s="54"/>
      <c r="E147" s="54"/>
      <c r="F147" s="53"/>
      <c r="G147" s="53"/>
      <c r="H147" s="53"/>
      <c r="I147" s="53"/>
      <c r="K147" s="53"/>
      <c r="L147" s="51"/>
      <c r="M147" s="55"/>
      <c r="N147" s="55"/>
      <c r="O147" s="55"/>
      <c r="P147" s="53"/>
    </row>
    <row r="148" spans="1:16" s="45" customFormat="1" ht="14.4">
      <c r="A148" s="53"/>
      <c r="B148" s="53"/>
      <c r="C148" s="53"/>
      <c r="D148" s="54"/>
      <c r="E148" s="54"/>
      <c r="F148" s="53"/>
      <c r="G148" s="53"/>
      <c r="H148" s="53"/>
      <c r="I148" s="53"/>
      <c r="K148" s="53"/>
      <c r="L148" s="51"/>
      <c r="M148" s="55"/>
      <c r="N148" s="55"/>
      <c r="O148" s="55"/>
      <c r="P148" s="53"/>
    </row>
    <row r="149" spans="1:16" s="45" customFormat="1" ht="14.4">
      <c r="A149" s="53"/>
      <c r="B149" s="53"/>
      <c r="C149" s="53"/>
      <c r="D149" s="54"/>
      <c r="E149" s="54"/>
      <c r="F149" s="53"/>
      <c r="G149" s="53"/>
      <c r="H149" s="53"/>
      <c r="I149" s="53"/>
      <c r="K149" s="53"/>
      <c r="L149" s="51"/>
      <c r="M149" s="55"/>
      <c r="N149" s="55"/>
      <c r="O149" s="55"/>
      <c r="P149" s="53"/>
    </row>
    <row r="150" spans="1:16" s="45" customFormat="1" ht="14.4">
      <c r="A150" s="53"/>
      <c r="B150" s="53"/>
      <c r="C150" s="53"/>
      <c r="D150" s="54"/>
      <c r="E150" s="54"/>
      <c r="F150" s="53"/>
      <c r="G150" s="53"/>
      <c r="H150" s="53"/>
      <c r="I150" s="53"/>
      <c r="K150" s="53"/>
      <c r="L150" s="51"/>
      <c r="M150" s="55"/>
      <c r="N150" s="55"/>
      <c r="O150" s="55"/>
      <c r="P150" s="53"/>
    </row>
    <row r="151" spans="1:16" s="45" customFormat="1" ht="14.4">
      <c r="A151" s="53"/>
      <c r="B151" s="53"/>
      <c r="C151" s="53"/>
      <c r="D151" s="54"/>
      <c r="E151" s="54"/>
      <c r="F151" s="53"/>
      <c r="G151" s="53"/>
      <c r="H151" s="53"/>
      <c r="I151" s="53"/>
      <c r="K151" s="53"/>
      <c r="L151" s="51"/>
      <c r="M151" s="55"/>
      <c r="N151" s="55"/>
      <c r="O151" s="55"/>
      <c r="P151" s="53"/>
    </row>
    <row r="152" spans="1:16" s="45" customFormat="1" ht="14.4">
      <c r="A152" s="53"/>
      <c r="B152" s="53"/>
      <c r="C152" s="53"/>
      <c r="D152" s="54"/>
      <c r="E152" s="54"/>
      <c r="F152" s="53"/>
      <c r="G152" s="53"/>
      <c r="H152" s="53"/>
      <c r="I152" s="53"/>
      <c r="K152" s="53"/>
      <c r="L152" s="51"/>
      <c r="M152" s="55"/>
      <c r="N152" s="55"/>
      <c r="O152" s="55"/>
      <c r="P152" s="53"/>
    </row>
    <row r="153" spans="1:16" s="45" customFormat="1" ht="14.4">
      <c r="A153" s="53"/>
      <c r="B153" s="53"/>
      <c r="C153" s="53"/>
      <c r="D153" s="54"/>
      <c r="E153" s="54"/>
      <c r="F153" s="53"/>
      <c r="G153" s="53"/>
      <c r="H153" s="53"/>
      <c r="I153" s="53"/>
      <c r="K153" s="53"/>
      <c r="L153" s="51"/>
      <c r="M153" s="55"/>
      <c r="N153" s="55"/>
      <c r="O153" s="55"/>
      <c r="P153" s="53"/>
    </row>
    <row r="154" spans="1:16" s="45" customFormat="1" ht="14.4">
      <c r="A154" s="53"/>
      <c r="B154" s="53"/>
      <c r="C154" s="53"/>
      <c r="D154" s="54"/>
      <c r="E154" s="54"/>
      <c r="F154" s="53"/>
      <c r="G154" s="53"/>
      <c r="H154" s="53"/>
      <c r="I154" s="53"/>
      <c r="K154" s="53"/>
      <c r="L154" s="51"/>
      <c r="M154" s="55"/>
      <c r="N154" s="55"/>
      <c r="O154" s="55"/>
      <c r="P154" s="53"/>
    </row>
    <row r="155" spans="1:16" s="45" customFormat="1" ht="14.4">
      <c r="A155" s="53"/>
      <c r="B155" s="53"/>
      <c r="C155" s="53"/>
      <c r="D155" s="54"/>
      <c r="E155" s="54"/>
      <c r="F155" s="53"/>
      <c r="G155" s="53"/>
      <c r="H155" s="53"/>
      <c r="I155" s="53"/>
      <c r="K155" s="53"/>
      <c r="L155" s="51"/>
      <c r="M155" s="55"/>
      <c r="N155" s="55"/>
      <c r="O155" s="55"/>
      <c r="P155" s="53"/>
    </row>
    <row r="156" spans="1:16" s="45" customFormat="1" ht="14.4">
      <c r="A156" s="53"/>
      <c r="B156" s="53"/>
      <c r="C156" s="53"/>
      <c r="D156" s="54"/>
      <c r="E156" s="54"/>
      <c r="F156" s="53"/>
      <c r="G156" s="53"/>
      <c r="H156" s="53"/>
      <c r="I156" s="53"/>
      <c r="K156" s="53"/>
      <c r="L156" s="51"/>
      <c r="M156" s="55"/>
      <c r="N156" s="55"/>
      <c r="O156" s="55"/>
      <c r="P156" s="53"/>
    </row>
    <row r="157" spans="1:16" s="45" customFormat="1" ht="14.4">
      <c r="A157" s="53"/>
      <c r="B157" s="53"/>
      <c r="C157" s="53"/>
      <c r="D157" s="54"/>
      <c r="E157" s="54"/>
      <c r="F157" s="53"/>
      <c r="G157" s="53"/>
      <c r="H157" s="53"/>
      <c r="I157" s="53"/>
      <c r="K157" s="53"/>
      <c r="L157" s="51"/>
      <c r="M157" s="55"/>
      <c r="N157" s="55"/>
      <c r="O157" s="55"/>
      <c r="P157" s="53"/>
    </row>
    <row r="158" spans="1:16" s="45" customFormat="1" ht="14.4">
      <c r="A158" s="53"/>
      <c r="B158" s="53"/>
      <c r="C158" s="53"/>
      <c r="D158" s="54"/>
      <c r="E158" s="54"/>
      <c r="F158" s="53"/>
      <c r="G158" s="53"/>
      <c r="H158" s="53"/>
      <c r="I158" s="53"/>
      <c r="K158" s="53"/>
      <c r="L158" s="51"/>
      <c r="M158" s="55"/>
      <c r="N158" s="55"/>
      <c r="O158" s="55"/>
      <c r="P158" s="53"/>
    </row>
    <row r="159" spans="1:16" s="45" customFormat="1" ht="14.4">
      <c r="A159" s="53"/>
      <c r="B159" s="53"/>
      <c r="C159" s="53"/>
      <c r="D159" s="54"/>
      <c r="E159" s="54"/>
      <c r="F159" s="53"/>
      <c r="G159" s="53"/>
      <c r="H159" s="53"/>
      <c r="I159" s="53"/>
      <c r="K159" s="53"/>
      <c r="L159" s="51"/>
      <c r="M159" s="55"/>
      <c r="N159" s="55"/>
      <c r="O159" s="55"/>
      <c r="P159" s="53"/>
    </row>
    <row r="160" spans="1:16" s="45" customFormat="1" ht="14.4">
      <c r="A160" s="53"/>
      <c r="B160" s="53"/>
      <c r="C160" s="53"/>
      <c r="D160" s="54"/>
      <c r="E160" s="54"/>
      <c r="F160" s="53"/>
      <c r="G160" s="53"/>
      <c r="H160" s="53"/>
      <c r="I160" s="53"/>
      <c r="K160" s="53"/>
      <c r="L160" s="51"/>
      <c r="M160" s="55"/>
      <c r="N160" s="55"/>
      <c r="O160" s="55"/>
      <c r="P160" s="53"/>
    </row>
    <row r="161" spans="1:16" s="45" customFormat="1" ht="14.4">
      <c r="A161" s="53"/>
      <c r="B161" s="53"/>
      <c r="C161" s="53"/>
      <c r="D161" s="54"/>
      <c r="E161" s="54"/>
      <c r="F161" s="53"/>
      <c r="G161" s="53"/>
      <c r="H161" s="53"/>
      <c r="I161" s="53"/>
      <c r="K161" s="53"/>
      <c r="L161" s="51"/>
      <c r="M161" s="55"/>
      <c r="N161" s="55"/>
      <c r="O161" s="55"/>
      <c r="P161" s="53"/>
    </row>
    <row r="162" spans="1:16" s="45" customFormat="1" ht="14.4">
      <c r="A162" s="53"/>
      <c r="B162" s="53"/>
      <c r="C162" s="53"/>
      <c r="D162" s="54"/>
      <c r="E162" s="54"/>
      <c r="F162" s="53"/>
      <c r="G162" s="53"/>
      <c r="H162" s="53"/>
      <c r="I162" s="53"/>
      <c r="K162" s="53"/>
      <c r="L162" s="51"/>
      <c r="M162" s="55"/>
      <c r="N162" s="55"/>
      <c r="O162" s="55"/>
      <c r="P162" s="53"/>
    </row>
    <row r="163" spans="1:16" s="45" customFormat="1" ht="14.4">
      <c r="A163" s="53"/>
      <c r="B163" s="53"/>
      <c r="C163" s="53"/>
      <c r="D163" s="54"/>
      <c r="E163" s="54"/>
      <c r="F163" s="53"/>
      <c r="G163" s="53"/>
      <c r="H163" s="53"/>
      <c r="I163" s="53"/>
      <c r="K163" s="53"/>
      <c r="L163" s="51"/>
      <c r="M163" s="55"/>
      <c r="N163" s="55"/>
      <c r="O163" s="55"/>
      <c r="P163" s="53"/>
    </row>
    <row r="164" spans="1:16" s="45" customFormat="1" ht="14.4">
      <c r="A164" s="53"/>
      <c r="B164" s="53"/>
      <c r="C164" s="53"/>
      <c r="D164" s="54"/>
      <c r="E164" s="54"/>
      <c r="F164" s="53"/>
      <c r="G164" s="53"/>
      <c r="H164" s="53"/>
      <c r="I164" s="53"/>
      <c r="K164" s="53"/>
      <c r="L164" s="51"/>
      <c r="M164" s="55"/>
      <c r="N164" s="55"/>
      <c r="O164" s="55"/>
      <c r="P164" s="53"/>
    </row>
    <row r="165" spans="1:16" s="45" customFormat="1" ht="14.4">
      <c r="A165" s="53"/>
      <c r="B165" s="53"/>
      <c r="C165" s="53"/>
      <c r="D165" s="54"/>
      <c r="E165" s="54"/>
      <c r="F165" s="53"/>
      <c r="G165" s="53"/>
      <c r="H165" s="53"/>
      <c r="I165" s="53"/>
      <c r="K165" s="53"/>
      <c r="L165" s="51"/>
      <c r="M165" s="55"/>
      <c r="N165" s="55"/>
      <c r="O165" s="55"/>
      <c r="P165" s="53"/>
    </row>
    <row r="166" spans="1:16" s="45" customFormat="1" ht="14.4">
      <c r="A166" s="53"/>
      <c r="B166" s="53"/>
      <c r="C166" s="53"/>
      <c r="D166" s="54"/>
      <c r="E166" s="54"/>
      <c r="F166" s="53"/>
      <c r="G166" s="53"/>
      <c r="H166" s="53"/>
      <c r="I166" s="53"/>
      <c r="K166" s="53"/>
      <c r="L166" s="51"/>
      <c r="M166" s="55"/>
      <c r="N166" s="55"/>
      <c r="O166" s="55"/>
      <c r="P166" s="53"/>
    </row>
    <row r="167" spans="1:16" s="45" customFormat="1" ht="14.4">
      <c r="A167" s="53"/>
      <c r="B167" s="53"/>
      <c r="C167" s="53"/>
      <c r="D167" s="54"/>
      <c r="E167" s="54"/>
      <c r="F167" s="53"/>
      <c r="G167" s="53"/>
      <c r="H167" s="53"/>
      <c r="I167" s="53"/>
      <c r="K167" s="53"/>
      <c r="L167" s="51"/>
      <c r="M167" s="55"/>
      <c r="N167" s="55"/>
      <c r="O167" s="55"/>
      <c r="P167" s="53"/>
    </row>
    <row r="168" spans="1:16" s="45" customFormat="1" ht="14.4">
      <c r="A168" s="53"/>
      <c r="B168" s="53"/>
      <c r="C168" s="53"/>
      <c r="D168" s="54"/>
      <c r="E168" s="54"/>
      <c r="F168" s="53"/>
      <c r="G168" s="53"/>
      <c r="H168" s="53"/>
      <c r="I168" s="53"/>
      <c r="K168" s="53"/>
      <c r="L168" s="51"/>
      <c r="M168" s="55"/>
      <c r="N168" s="55"/>
      <c r="O168" s="55"/>
      <c r="P168" s="53"/>
    </row>
    <row r="169" spans="1:16" s="45" customFormat="1" ht="14.4">
      <c r="A169" s="53"/>
      <c r="B169" s="53"/>
      <c r="C169" s="53"/>
      <c r="D169" s="54"/>
      <c r="E169" s="54"/>
      <c r="F169" s="53"/>
      <c r="G169" s="53"/>
      <c r="H169" s="53"/>
      <c r="I169" s="53"/>
      <c r="K169" s="53"/>
      <c r="L169" s="51"/>
      <c r="M169" s="55"/>
      <c r="N169" s="55"/>
      <c r="O169" s="55"/>
      <c r="P169" s="53"/>
    </row>
    <row r="170" spans="1:16" s="45" customFormat="1" ht="14.4">
      <c r="A170" s="53"/>
      <c r="B170" s="53"/>
      <c r="C170" s="53"/>
      <c r="D170" s="54"/>
      <c r="E170" s="54"/>
      <c r="F170" s="53"/>
      <c r="G170" s="53"/>
      <c r="H170" s="53"/>
      <c r="I170" s="53"/>
      <c r="K170" s="53"/>
      <c r="L170" s="51"/>
      <c r="M170" s="55"/>
      <c r="N170" s="55"/>
      <c r="O170" s="55"/>
      <c r="P170" s="53"/>
    </row>
    <row r="171" spans="1:16" s="45" customFormat="1" ht="14.4">
      <c r="A171" s="53"/>
      <c r="B171" s="53"/>
      <c r="C171" s="53"/>
      <c r="D171" s="54"/>
      <c r="E171" s="54"/>
      <c r="F171" s="53"/>
      <c r="G171" s="53"/>
      <c r="H171" s="53"/>
      <c r="I171" s="53"/>
      <c r="K171" s="53"/>
      <c r="L171" s="51"/>
      <c r="M171" s="55"/>
      <c r="N171" s="55"/>
      <c r="O171" s="55"/>
      <c r="P171" s="53"/>
    </row>
    <row r="172" spans="1:16" s="45" customFormat="1" ht="14.4">
      <c r="A172" s="53"/>
      <c r="B172" s="53"/>
      <c r="C172" s="53"/>
      <c r="D172" s="54"/>
      <c r="E172" s="54"/>
      <c r="F172" s="53"/>
      <c r="G172" s="53"/>
      <c r="H172" s="53"/>
      <c r="I172" s="53"/>
      <c r="K172" s="53"/>
      <c r="L172" s="51"/>
      <c r="M172" s="55"/>
      <c r="N172" s="55"/>
      <c r="O172" s="55"/>
      <c r="P172" s="53"/>
    </row>
    <row r="173" spans="1:16" s="45" customFormat="1" ht="14.4">
      <c r="A173" s="53"/>
      <c r="B173" s="53"/>
      <c r="C173" s="53"/>
      <c r="D173" s="54"/>
      <c r="E173" s="54"/>
      <c r="F173" s="53"/>
      <c r="G173" s="53"/>
      <c r="H173" s="53"/>
      <c r="I173" s="53"/>
      <c r="K173" s="53"/>
      <c r="L173" s="51"/>
      <c r="M173" s="55"/>
      <c r="N173" s="55"/>
      <c r="O173" s="55"/>
      <c r="P173" s="53"/>
    </row>
    <row r="174" spans="1:16" s="45" customFormat="1" ht="14.4">
      <c r="A174" s="53"/>
      <c r="B174" s="53"/>
      <c r="C174" s="53"/>
      <c r="D174" s="54"/>
      <c r="E174" s="54"/>
      <c r="F174" s="53"/>
      <c r="G174" s="53"/>
      <c r="H174" s="53"/>
      <c r="I174" s="53"/>
      <c r="K174" s="53"/>
      <c r="L174" s="51"/>
      <c r="M174" s="55"/>
      <c r="N174" s="55"/>
      <c r="O174" s="55"/>
      <c r="P174" s="53"/>
    </row>
    <row r="175" spans="1:16" s="45" customFormat="1" ht="14.4">
      <c r="A175" s="53"/>
      <c r="B175" s="53"/>
      <c r="C175" s="53"/>
      <c r="D175" s="54"/>
      <c r="E175" s="54"/>
      <c r="F175" s="53"/>
      <c r="G175" s="53"/>
      <c r="H175" s="53"/>
      <c r="I175" s="53"/>
      <c r="K175" s="53"/>
      <c r="L175" s="51"/>
      <c r="M175" s="55"/>
      <c r="N175" s="55"/>
      <c r="O175" s="55"/>
      <c r="P175" s="53"/>
    </row>
    <row r="176" spans="1:16" s="45" customFormat="1" ht="14.4">
      <c r="A176" s="53"/>
      <c r="B176" s="53"/>
      <c r="C176" s="53"/>
      <c r="D176" s="54"/>
      <c r="E176" s="54"/>
      <c r="F176" s="53"/>
      <c r="G176" s="53"/>
      <c r="H176" s="53"/>
      <c r="I176" s="53"/>
      <c r="K176" s="53"/>
      <c r="L176" s="51"/>
      <c r="M176" s="55"/>
      <c r="N176" s="55"/>
      <c r="O176" s="55"/>
      <c r="P176" s="53"/>
    </row>
    <row r="177" spans="1:16" s="45" customFormat="1" ht="14.4">
      <c r="A177" s="53"/>
      <c r="B177" s="53"/>
      <c r="C177" s="53"/>
      <c r="D177" s="54"/>
      <c r="E177" s="54"/>
      <c r="F177" s="53"/>
      <c r="G177" s="53"/>
      <c r="H177" s="53"/>
      <c r="I177" s="53"/>
      <c r="K177" s="53"/>
      <c r="L177" s="51"/>
      <c r="M177" s="55"/>
      <c r="N177" s="55"/>
      <c r="O177" s="55"/>
      <c r="P177" s="53"/>
    </row>
    <row r="178" spans="1:16" s="45" customFormat="1" ht="14.4">
      <c r="A178" s="53"/>
      <c r="B178" s="53"/>
      <c r="C178" s="53"/>
      <c r="D178" s="54"/>
      <c r="E178" s="54"/>
      <c r="F178" s="53"/>
      <c r="G178" s="53"/>
      <c r="H178" s="53"/>
      <c r="I178" s="53"/>
      <c r="K178" s="53"/>
      <c r="L178" s="51"/>
      <c r="M178" s="55"/>
      <c r="N178" s="55"/>
      <c r="O178" s="55"/>
      <c r="P178" s="53"/>
    </row>
    <row r="179" spans="1:16" s="45" customFormat="1" ht="14.4">
      <c r="A179" s="53"/>
      <c r="B179" s="53"/>
      <c r="C179" s="53"/>
      <c r="D179" s="54"/>
      <c r="E179" s="54"/>
      <c r="F179" s="53"/>
      <c r="G179" s="53"/>
      <c r="H179" s="53"/>
      <c r="I179" s="53"/>
      <c r="K179" s="53"/>
      <c r="L179" s="51"/>
      <c r="M179" s="55"/>
      <c r="N179" s="55"/>
      <c r="O179" s="55"/>
      <c r="P179" s="53"/>
    </row>
    <row r="180" spans="1:16" s="45" customFormat="1" ht="14.4">
      <c r="A180" s="53"/>
      <c r="B180" s="53"/>
      <c r="C180" s="53"/>
      <c r="D180" s="54"/>
      <c r="E180" s="54"/>
      <c r="F180" s="53"/>
      <c r="G180" s="53"/>
      <c r="H180" s="53"/>
      <c r="I180" s="53"/>
      <c r="K180" s="53"/>
      <c r="L180" s="51"/>
      <c r="M180" s="55"/>
      <c r="N180" s="55"/>
      <c r="O180" s="55"/>
      <c r="P180" s="53"/>
    </row>
    <row r="181" spans="1:16" s="45" customFormat="1" ht="14.4">
      <c r="A181" s="53"/>
      <c r="B181" s="53"/>
      <c r="C181" s="53"/>
      <c r="D181" s="54"/>
      <c r="E181" s="54"/>
      <c r="F181" s="53"/>
      <c r="G181" s="53"/>
      <c r="H181" s="53"/>
      <c r="I181" s="53"/>
      <c r="K181" s="53"/>
      <c r="L181" s="51"/>
      <c r="M181" s="55"/>
      <c r="N181" s="55"/>
      <c r="O181" s="55"/>
      <c r="P181" s="53"/>
    </row>
    <row r="182" spans="1:16" s="45" customFormat="1" ht="14.4">
      <c r="A182" s="53"/>
      <c r="B182" s="53"/>
      <c r="C182" s="53"/>
      <c r="D182" s="54"/>
      <c r="E182" s="54"/>
      <c r="F182" s="53"/>
      <c r="G182" s="53"/>
      <c r="H182" s="53"/>
      <c r="I182" s="53"/>
      <c r="K182" s="53"/>
      <c r="L182" s="51"/>
      <c r="M182" s="55"/>
      <c r="N182" s="55"/>
      <c r="O182" s="55"/>
      <c r="P182" s="53"/>
    </row>
    <row r="183" spans="1:16" s="45" customFormat="1" ht="14.4">
      <c r="A183" s="53"/>
      <c r="B183" s="53"/>
      <c r="C183" s="53"/>
      <c r="D183" s="54"/>
      <c r="E183" s="54"/>
      <c r="F183" s="53"/>
      <c r="G183" s="53"/>
      <c r="H183" s="53"/>
      <c r="I183" s="53"/>
      <c r="K183" s="53"/>
      <c r="L183" s="51"/>
      <c r="M183" s="55"/>
      <c r="N183" s="55"/>
      <c r="O183" s="55"/>
      <c r="P183" s="53"/>
    </row>
    <row r="184" spans="1:16" s="45" customFormat="1" ht="14.4">
      <c r="A184" s="53"/>
      <c r="B184" s="53"/>
      <c r="C184" s="53"/>
      <c r="D184" s="54"/>
      <c r="E184" s="54"/>
      <c r="F184" s="53"/>
      <c r="G184" s="53"/>
      <c r="H184" s="53"/>
      <c r="I184" s="53"/>
      <c r="K184" s="53"/>
      <c r="L184" s="51"/>
      <c r="M184" s="55"/>
      <c r="N184" s="55"/>
      <c r="O184" s="55"/>
      <c r="P184" s="53"/>
    </row>
    <row r="185" spans="1:16" s="45" customFormat="1" ht="14.4">
      <c r="A185" s="53"/>
      <c r="B185" s="53"/>
      <c r="C185" s="53"/>
      <c r="D185" s="54"/>
      <c r="E185" s="54"/>
      <c r="F185" s="53"/>
      <c r="G185" s="53"/>
      <c r="H185" s="53"/>
      <c r="I185" s="53"/>
      <c r="K185" s="53"/>
      <c r="L185" s="51"/>
      <c r="M185" s="55"/>
      <c r="N185" s="55"/>
      <c r="O185" s="55"/>
      <c r="P185" s="53"/>
    </row>
    <row r="186" spans="1:16" s="45" customFormat="1" ht="14.4">
      <c r="A186" s="53"/>
      <c r="B186" s="53"/>
      <c r="C186" s="53"/>
      <c r="D186" s="54"/>
      <c r="E186" s="54"/>
      <c r="F186" s="53"/>
      <c r="G186" s="53"/>
      <c r="H186" s="53"/>
      <c r="I186" s="53"/>
      <c r="K186" s="53"/>
      <c r="L186" s="51"/>
      <c r="M186" s="55"/>
      <c r="N186" s="55"/>
      <c r="O186" s="55"/>
      <c r="P186" s="53"/>
    </row>
    <row r="187" spans="1:16" s="45" customFormat="1" ht="14.4">
      <c r="A187" s="53"/>
      <c r="B187" s="53"/>
      <c r="C187" s="53"/>
      <c r="D187" s="54"/>
      <c r="E187" s="54"/>
      <c r="F187" s="53"/>
      <c r="G187" s="53"/>
      <c r="H187" s="53"/>
      <c r="I187" s="53"/>
      <c r="K187" s="53"/>
      <c r="L187" s="51"/>
      <c r="M187" s="55"/>
      <c r="N187" s="55"/>
      <c r="O187" s="55"/>
      <c r="P187" s="53"/>
    </row>
    <row r="188" spans="1:16" s="45" customFormat="1" ht="14.4">
      <c r="A188" s="53"/>
      <c r="B188" s="53"/>
      <c r="C188" s="53"/>
      <c r="D188" s="54"/>
      <c r="E188" s="54"/>
      <c r="F188" s="53"/>
      <c r="G188" s="53"/>
      <c r="H188" s="53"/>
      <c r="I188" s="53"/>
      <c r="K188" s="53"/>
      <c r="L188" s="51"/>
      <c r="M188" s="55"/>
      <c r="N188" s="55"/>
      <c r="O188" s="55"/>
      <c r="P188" s="53"/>
    </row>
    <row r="189" spans="1:16" s="45" customFormat="1" ht="14.4">
      <c r="A189" s="53"/>
      <c r="B189" s="53"/>
      <c r="C189" s="53"/>
      <c r="D189" s="54"/>
      <c r="E189" s="54"/>
      <c r="F189" s="53"/>
      <c r="G189" s="53"/>
      <c r="H189" s="53"/>
      <c r="I189" s="53"/>
      <c r="K189" s="53"/>
      <c r="L189" s="51"/>
      <c r="M189" s="55"/>
      <c r="N189" s="55"/>
      <c r="O189" s="55"/>
      <c r="P189" s="53"/>
    </row>
    <row r="190" spans="1:16" s="45" customFormat="1" ht="14.4">
      <c r="A190" s="53"/>
      <c r="B190" s="53"/>
      <c r="C190" s="53"/>
      <c r="D190" s="54"/>
      <c r="E190" s="54"/>
      <c r="F190" s="53"/>
      <c r="G190" s="53"/>
      <c r="H190" s="53"/>
      <c r="I190" s="53"/>
      <c r="K190" s="53"/>
      <c r="L190" s="51"/>
      <c r="M190" s="55"/>
      <c r="N190" s="55"/>
      <c r="O190" s="55"/>
      <c r="P190" s="53"/>
    </row>
    <row r="191" spans="1:16" s="45" customFormat="1" ht="14.4">
      <c r="A191" s="53"/>
      <c r="B191" s="53"/>
      <c r="C191" s="53"/>
      <c r="D191" s="54"/>
      <c r="E191" s="54"/>
      <c r="F191" s="53"/>
      <c r="G191" s="53"/>
      <c r="H191" s="53"/>
      <c r="I191" s="53"/>
      <c r="K191" s="53"/>
      <c r="L191" s="51"/>
      <c r="M191" s="55"/>
      <c r="N191" s="55"/>
      <c r="O191" s="55"/>
      <c r="P191" s="53"/>
    </row>
    <row r="192" spans="1:16" s="45" customFormat="1" ht="14.4">
      <c r="A192" s="53"/>
      <c r="B192" s="53"/>
      <c r="C192" s="53"/>
      <c r="D192" s="54"/>
      <c r="E192" s="54"/>
      <c r="F192" s="53"/>
      <c r="G192" s="53"/>
      <c r="H192" s="53"/>
      <c r="I192" s="53"/>
      <c r="K192" s="53"/>
      <c r="L192" s="51"/>
      <c r="M192" s="55"/>
      <c r="N192" s="55"/>
      <c r="O192" s="55"/>
      <c r="P192" s="53"/>
    </row>
    <row r="193" spans="1:16" s="45" customFormat="1" ht="14.4">
      <c r="A193" s="53"/>
      <c r="B193" s="53"/>
      <c r="C193" s="53"/>
      <c r="D193" s="54"/>
      <c r="E193" s="54"/>
      <c r="F193" s="53"/>
      <c r="G193" s="53"/>
      <c r="H193" s="53"/>
      <c r="I193" s="53"/>
      <c r="K193" s="53"/>
      <c r="L193" s="51"/>
      <c r="M193" s="55"/>
      <c r="N193" s="55"/>
      <c r="O193" s="55"/>
      <c r="P193" s="53"/>
    </row>
    <row r="194" spans="1:16" s="45" customFormat="1" ht="14.4">
      <c r="A194" s="53"/>
      <c r="B194" s="53"/>
      <c r="C194" s="53"/>
      <c r="D194" s="54"/>
      <c r="E194" s="54"/>
      <c r="F194" s="53"/>
      <c r="G194" s="53"/>
      <c r="H194" s="53"/>
      <c r="I194" s="53"/>
      <c r="K194" s="53"/>
      <c r="L194" s="51"/>
      <c r="M194" s="55"/>
      <c r="N194" s="55"/>
      <c r="O194" s="55"/>
      <c r="P194" s="53"/>
    </row>
    <row r="195" spans="1:16" s="45" customFormat="1" ht="14.4">
      <c r="A195" s="53"/>
      <c r="B195" s="53"/>
      <c r="C195" s="53"/>
      <c r="D195" s="54"/>
      <c r="E195" s="54"/>
      <c r="F195" s="53"/>
      <c r="G195" s="53"/>
      <c r="H195" s="53"/>
      <c r="I195" s="53"/>
      <c r="K195" s="53"/>
      <c r="L195" s="51"/>
      <c r="M195" s="55"/>
      <c r="N195" s="55"/>
      <c r="O195" s="55"/>
      <c r="P195" s="53"/>
    </row>
    <row r="196" spans="1:16" s="45" customFormat="1" ht="14.4">
      <c r="A196" s="53"/>
      <c r="B196" s="53"/>
      <c r="C196" s="53"/>
      <c r="D196" s="54"/>
      <c r="E196" s="54"/>
      <c r="F196" s="53"/>
      <c r="G196" s="53"/>
      <c r="H196" s="53"/>
      <c r="I196" s="53"/>
      <c r="K196" s="53"/>
      <c r="L196" s="51"/>
      <c r="M196" s="55"/>
      <c r="N196" s="55"/>
      <c r="O196" s="55"/>
      <c r="P196" s="53"/>
    </row>
    <row r="197" spans="1:16" s="45" customFormat="1" ht="14.4">
      <c r="A197" s="53"/>
      <c r="B197" s="53"/>
      <c r="C197" s="53"/>
      <c r="D197" s="54"/>
      <c r="E197" s="54"/>
      <c r="F197" s="53"/>
      <c r="G197" s="53"/>
      <c r="H197" s="53"/>
      <c r="I197" s="53"/>
      <c r="K197" s="53"/>
      <c r="L197" s="51"/>
      <c r="M197" s="55"/>
      <c r="N197" s="55"/>
      <c r="O197" s="55"/>
      <c r="P197" s="53"/>
    </row>
    <row r="198" spans="1:16" s="45" customFormat="1" ht="14.4">
      <c r="A198" s="53"/>
      <c r="B198" s="53"/>
      <c r="C198" s="53"/>
      <c r="D198" s="54"/>
      <c r="E198" s="54"/>
      <c r="F198" s="53"/>
      <c r="G198" s="53"/>
      <c r="H198" s="53"/>
      <c r="I198" s="53"/>
      <c r="K198" s="53"/>
      <c r="L198" s="51"/>
      <c r="M198" s="55"/>
      <c r="N198" s="55"/>
      <c r="O198" s="55"/>
      <c r="P198" s="53"/>
    </row>
    <row r="199" spans="1:16" s="45" customFormat="1" ht="14.4">
      <c r="A199" s="53"/>
      <c r="B199" s="53"/>
      <c r="C199" s="53"/>
      <c r="D199" s="54"/>
      <c r="E199" s="54"/>
      <c r="F199" s="53"/>
      <c r="G199" s="53"/>
      <c r="H199" s="53"/>
      <c r="I199" s="53"/>
      <c r="K199" s="53"/>
      <c r="L199" s="51"/>
      <c r="M199" s="55"/>
      <c r="N199" s="55"/>
      <c r="O199" s="55"/>
      <c r="P199" s="53"/>
    </row>
    <row r="200" spans="1:16" s="45" customFormat="1" ht="14.4">
      <c r="A200" s="53"/>
      <c r="B200" s="53"/>
      <c r="C200" s="53"/>
      <c r="D200" s="54"/>
      <c r="E200" s="54"/>
      <c r="F200" s="53"/>
      <c r="G200" s="53"/>
      <c r="H200" s="53"/>
      <c r="I200" s="53"/>
      <c r="K200" s="53"/>
      <c r="L200" s="51"/>
      <c r="M200" s="55"/>
      <c r="N200" s="55"/>
      <c r="O200" s="55"/>
      <c r="P200" s="53"/>
    </row>
    <row r="201" spans="1:16" s="45" customFormat="1" ht="14.4">
      <c r="A201" s="53"/>
      <c r="B201" s="53"/>
      <c r="C201" s="53"/>
      <c r="D201" s="54"/>
      <c r="E201" s="54"/>
      <c r="F201" s="53"/>
      <c r="G201" s="53"/>
      <c r="H201" s="53"/>
      <c r="I201" s="53"/>
      <c r="K201" s="53"/>
      <c r="L201" s="51"/>
      <c r="M201" s="55"/>
      <c r="N201" s="55"/>
      <c r="O201" s="55"/>
      <c r="P201" s="53"/>
    </row>
    <row r="202" spans="1:16" s="45" customFormat="1" ht="14.4">
      <c r="A202" s="53"/>
      <c r="B202" s="53"/>
      <c r="C202" s="53"/>
      <c r="D202" s="54"/>
      <c r="E202" s="54"/>
      <c r="F202" s="53"/>
      <c r="G202" s="53"/>
      <c r="H202" s="53"/>
      <c r="I202" s="53"/>
      <c r="K202" s="53"/>
      <c r="L202" s="51"/>
      <c r="M202" s="55"/>
      <c r="N202" s="55"/>
      <c r="O202" s="55"/>
      <c r="P202" s="53"/>
    </row>
    <row r="203" spans="1:16" s="45" customFormat="1" ht="14.4">
      <c r="A203" s="53"/>
      <c r="B203" s="53"/>
      <c r="C203" s="53"/>
      <c r="D203" s="54"/>
      <c r="E203" s="54"/>
      <c r="F203" s="53"/>
      <c r="G203" s="53"/>
      <c r="H203" s="53"/>
      <c r="I203" s="53"/>
      <c r="K203" s="53"/>
      <c r="L203" s="51"/>
      <c r="M203" s="55"/>
      <c r="N203" s="55"/>
      <c r="O203" s="55"/>
      <c r="P203" s="53"/>
    </row>
    <row r="204" spans="1:16" s="45" customFormat="1" ht="14.4">
      <c r="A204" s="53"/>
      <c r="B204" s="53"/>
      <c r="C204" s="53"/>
      <c r="D204" s="54"/>
      <c r="E204" s="54"/>
      <c r="F204" s="53"/>
      <c r="G204" s="53"/>
      <c r="H204" s="53"/>
      <c r="I204" s="53"/>
      <c r="K204" s="53"/>
      <c r="L204" s="51"/>
      <c r="M204" s="55"/>
      <c r="N204" s="55"/>
      <c r="O204" s="55"/>
      <c r="P204" s="53"/>
    </row>
    <row r="205" spans="1:16" s="45" customFormat="1" ht="14.4">
      <c r="A205" s="53"/>
      <c r="B205" s="53"/>
      <c r="C205" s="53"/>
      <c r="D205" s="54"/>
      <c r="E205" s="54"/>
      <c r="F205" s="53"/>
      <c r="G205" s="53"/>
      <c r="H205" s="53"/>
      <c r="I205" s="53"/>
      <c r="K205" s="53"/>
      <c r="L205" s="51"/>
      <c r="M205" s="55"/>
      <c r="N205" s="55"/>
      <c r="O205" s="55"/>
      <c r="P205" s="53"/>
    </row>
    <row r="206" spans="1:16" s="45" customFormat="1" ht="14.4">
      <c r="A206" s="53"/>
      <c r="B206" s="53"/>
      <c r="C206" s="53"/>
      <c r="D206" s="54"/>
      <c r="E206" s="54"/>
      <c r="F206" s="53"/>
      <c r="G206" s="53"/>
      <c r="H206" s="53"/>
      <c r="I206" s="53"/>
      <c r="K206" s="53"/>
      <c r="L206" s="51"/>
      <c r="M206" s="55"/>
      <c r="N206" s="55"/>
      <c r="O206" s="55"/>
      <c r="P206" s="53"/>
    </row>
    <row r="207" spans="1:16" s="45" customFormat="1" ht="14.4">
      <c r="A207" s="53"/>
      <c r="B207" s="53"/>
      <c r="C207" s="53"/>
      <c r="D207" s="54"/>
      <c r="E207" s="54"/>
      <c r="F207" s="53"/>
      <c r="G207" s="53"/>
      <c r="H207" s="53"/>
      <c r="I207" s="53"/>
      <c r="K207" s="53"/>
      <c r="L207" s="51"/>
      <c r="M207" s="55"/>
      <c r="N207" s="55"/>
      <c r="O207" s="55"/>
      <c r="P207" s="53"/>
    </row>
    <row r="208" spans="1:16" s="45" customFormat="1" ht="14.4">
      <c r="A208" s="53"/>
      <c r="B208" s="53"/>
      <c r="C208" s="53"/>
      <c r="D208" s="54"/>
      <c r="E208" s="54"/>
      <c r="F208" s="53"/>
      <c r="G208" s="53"/>
      <c r="H208" s="53"/>
      <c r="I208" s="53"/>
      <c r="K208" s="53"/>
      <c r="L208" s="51"/>
      <c r="M208" s="55"/>
      <c r="N208" s="55"/>
      <c r="O208" s="55"/>
      <c r="P208" s="53"/>
    </row>
    <row r="209" spans="1:16" s="45" customFormat="1" ht="14.4">
      <c r="A209" s="53"/>
      <c r="B209" s="53"/>
      <c r="C209" s="53"/>
      <c r="D209" s="54"/>
      <c r="E209" s="54"/>
      <c r="F209" s="53"/>
      <c r="G209" s="53"/>
      <c r="H209" s="53"/>
      <c r="I209" s="53"/>
      <c r="K209" s="53"/>
      <c r="L209" s="51"/>
      <c r="M209" s="55"/>
      <c r="N209" s="55"/>
      <c r="O209" s="55"/>
      <c r="P209" s="53"/>
    </row>
    <row r="210" spans="1:16" s="45" customFormat="1" ht="14.4">
      <c r="A210" s="53"/>
      <c r="B210" s="53"/>
      <c r="C210" s="53"/>
      <c r="D210" s="54"/>
      <c r="E210" s="54"/>
      <c r="F210" s="53"/>
      <c r="G210" s="53"/>
      <c r="H210" s="53"/>
      <c r="I210" s="53"/>
      <c r="K210" s="53"/>
      <c r="L210" s="51"/>
      <c r="M210" s="55"/>
      <c r="N210" s="55"/>
      <c r="O210" s="55"/>
      <c r="P210" s="53"/>
    </row>
    <row r="211" spans="1:16" s="45" customFormat="1" ht="14.4">
      <c r="A211" s="53"/>
      <c r="B211" s="53"/>
      <c r="C211" s="53"/>
      <c r="D211" s="54"/>
      <c r="E211" s="54"/>
      <c r="F211" s="53"/>
      <c r="G211" s="53"/>
      <c r="H211" s="53"/>
      <c r="I211" s="53"/>
      <c r="K211" s="53"/>
      <c r="L211" s="51"/>
      <c r="M211" s="55"/>
      <c r="N211" s="55"/>
      <c r="O211" s="55"/>
      <c r="P211" s="53"/>
    </row>
    <row r="212" spans="1:16" s="45" customFormat="1" ht="14.4">
      <c r="A212" s="53"/>
      <c r="B212" s="53"/>
      <c r="C212" s="53"/>
      <c r="D212" s="54"/>
      <c r="E212" s="54"/>
      <c r="F212" s="53"/>
      <c r="G212" s="53"/>
      <c r="H212" s="53"/>
      <c r="I212" s="53"/>
      <c r="K212" s="53"/>
      <c r="L212" s="51"/>
      <c r="M212" s="55"/>
      <c r="N212" s="55"/>
      <c r="O212" s="55"/>
      <c r="P212" s="53"/>
    </row>
    <row r="213" spans="1:16" s="45" customFormat="1" ht="14.4">
      <c r="A213" s="53"/>
      <c r="B213" s="53"/>
      <c r="C213" s="53"/>
      <c r="D213" s="54"/>
      <c r="E213" s="54"/>
      <c r="F213" s="53"/>
      <c r="G213" s="53"/>
      <c r="H213" s="53"/>
      <c r="I213" s="53"/>
      <c r="K213" s="53"/>
      <c r="L213" s="51"/>
      <c r="M213" s="55"/>
      <c r="N213" s="55"/>
      <c r="O213" s="55"/>
      <c r="P213" s="53"/>
    </row>
    <row r="214" spans="1:16" s="45" customFormat="1" ht="14.4">
      <c r="A214" s="53"/>
      <c r="B214" s="53"/>
      <c r="C214" s="53"/>
      <c r="D214" s="54"/>
      <c r="E214" s="54"/>
      <c r="F214" s="53"/>
      <c r="G214" s="53"/>
      <c r="H214" s="53"/>
      <c r="I214" s="53"/>
      <c r="K214" s="53"/>
      <c r="L214" s="51"/>
      <c r="M214" s="55"/>
      <c r="N214" s="55"/>
      <c r="O214" s="55"/>
      <c r="P214" s="53"/>
    </row>
    <row r="215" spans="1:16" s="45" customFormat="1" ht="14.4">
      <c r="A215" s="53"/>
      <c r="B215" s="53"/>
      <c r="C215" s="53"/>
      <c r="D215" s="54"/>
      <c r="E215" s="54"/>
      <c r="F215" s="53"/>
      <c r="G215" s="53"/>
      <c r="H215" s="53"/>
      <c r="I215" s="53"/>
      <c r="K215" s="53"/>
      <c r="L215" s="51"/>
      <c r="M215" s="55"/>
      <c r="N215" s="55"/>
      <c r="O215" s="55"/>
      <c r="P215" s="53"/>
    </row>
    <row r="216" spans="1:16" s="45" customFormat="1" ht="14.4">
      <c r="A216" s="53"/>
      <c r="B216" s="53"/>
      <c r="C216" s="53"/>
      <c r="D216" s="54"/>
      <c r="E216" s="54"/>
      <c r="F216" s="53"/>
      <c r="G216" s="53"/>
      <c r="H216" s="53"/>
      <c r="I216" s="53"/>
      <c r="K216" s="53"/>
      <c r="L216" s="51"/>
      <c r="M216" s="55"/>
      <c r="N216" s="55"/>
      <c r="O216" s="55"/>
      <c r="P216" s="53"/>
    </row>
    <row r="217" spans="1:16" s="45" customFormat="1" ht="14.25" customHeight="1"/>
    <row r="218" spans="1:16" s="45" customFormat="1" ht="14.25" customHeight="1"/>
    <row r="219" spans="1:16" s="45" customFormat="1" ht="14.25" customHeight="1"/>
    <row r="220" spans="1:16" s="45" customFormat="1" ht="14.25" customHeight="1"/>
    <row r="221" spans="1:16" s="45" customFormat="1" ht="14.25" customHeight="1"/>
    <row r="222" spans="1:16" s="45" customFormat="1" ht="14.25" customHeight="1"/>
    <row r="223" spans="1:16" s="45" customFormat="1" ht="14.25" customHeight="1"/>
    <row r="224" spans="1:16" s="45" customFormat="1" ht="14.25" customHeight="1"/>
    <row r="225" s="45" customFormat="1" ht="14.25" customHeight="1"/>
    <row r="226" s="45" customFormat="1" ht="14.25" customHeight="1"/>
    <row r="227" s="45" customFormat="1" ht="14.25" customHeight="1"/>
    <row r="228" s="45" customFormat="1" ht="14.25" customHeight="1"/>
    <row r="229" s="45" customFormat="1" ht="14.25" customHeight="1"/>
    <row r="230" s="45" customFormat="1" ht="14.25" customHeight="1"/>
    <row r="231" s="45" customFormat="1" ht="14.25" customHeight="1"/>
    <row r="232" s="45" customFormat="1" ht="14.25" customHeight="1"/>
    <row r="233" s="45" customFormat="1" ht="14.25" customHeight="1"/>
    <row r="234" s="45" customFormat="1" ht="14.25" customHeight="1"/>
    <row r="235" s="45" customFormat="1" ht="14.25" customHeight="1"/>
    <row r="236" s="45" customFormat="1" ht="14.25" customHeight="1"/>
    <row r="237" s="45" customFormat="1" ht="14.25" customHeight="1"/>
    <row r="238" s="45" customFormat="1" ht="14.25" customHeight="1"/>
    <row r="239" s="45" customFormat="1" ht="14.25" customHeight="1"/>
    <row r="240" s="45" customFormat="1" ht="14.25" customHeight="1"/>
    <row r="241" s="45" customFormat="1" ht="14.25" customHeight="1"/>
    <row r="242" s="45" customFormat="1" ht="14.25" customHeight="1"/>
    <row r="243" s="45" customFormat="1" ht="14.25" customHeight="1"/>
    <row r="244" s="45" customFormat="1" ht="14.25" customHeight="1"/>
    <row r="245" s="45" customFormat="1" ht="14.25" customHeight="1"/>
    <row r="246" s="45" customFormat="1" ht="14.25" customHeight="1"/>
    <row r="247" s="45" customFormat="1" ht="14.25" customHeight="1"/>
    <row r="248" s="45" customFormat="1" ht="14.25" customHeight="1"/>
    <row r="249" s="45" customFormat="1" ht="14.25" customHeight="1"/>
    <row r="250" s="45" customFormat="1" ht="14.25" customHeight="1"/>
    <row r="251" s="45" customFormat="1" ht="14.25" customHeight="1"/>
    <row r="252" s="45" customFormat="1" ht="14.25" customHeight="1"/>
    <row r="253" s="45" customFormat="1" ht="14.25" customHeight="1"/>
    <row r="254" s="45" customFormat="1" ht="14.25" customHeight="1"/>
    <row r="255" s="45" customFormat="1" ht="14.25" customHeight="1"/>
    <row r="256" s="45" customFormat="1" ht="14.25" customHeight="1"/>
    <row r="257" s="45" customFormat="1" ht="14.25" customHeight="1"/>
    <row r="258" s="45" customFormat="1" ht="14.25" customHeight="1"/>
    <row r="259" s="45" customFormat="1" ht="14.25" customHeight="1"/>
    <row r="260" s="45" customFormat="1" ht="14.25" customHeight="1"/>
    <row r="261" s="45" customFormat="1" ht="14.25" customHeight="1"/>
    <row r="262" s="45" customFormat="1" ht="14.25" customHeight="1"/>
    <row r="263" s="45" customFormat="1" ht="14.25" customHeight="1"/>
    <row r="264" s="45" customFormat="1" ht="14.25" customHeight="1"/>
    <row r="265" s="45" customFormat="1" ht="14.25" customHeight="1"/>
    <row r="266" s="45" customFormat="1" ht="14.25" customHeight="1"/>
    <row r="267" s="45" customFormat="1" ht="14.25" customHeight="1"/>
    <row r="268" s="45" customFormat="1" ht="14.25" customHeight="1"/>
    <row r="269" s="45" customFormat="1" ht="14.25" customHeight="1"/>
    <row r="270" s="45" customFormat="1" ht="14.25" customHeight="1"/>
    <row r="271" s="45" customFormat="1" ht="14.25" customHeight="1"/>
    <row r="272" s="45" customFormat="1" ht="14.25" customHeight="1"/>
    <row r="273" s="45" customFormat="1" ht="14.25" customHeight="1"/>
    <row r="274" s="45" customFormat="1" ht="14.25" customHeight="1"/>
    <row r="275" s="45" customFormat="1" ht="14.25" customHeight="1"/>
    <row r="276" s="45" customFormat="1" ht="14.25" customHeight="1"/>
    <row r="277" s="45" customFormat="1" ht="14.25" customHeight="1"/>
    <row r="278" s="45" customFormat="1" ht="14.25" customHeight="1"/>
    <row r="279" s="45" customFormat="1" ht="14.25" customHeight="1"/>
    <row r="280" s="45" customFormat="1" ht="14.25" customHeight="1"/>
    <row r="281" s="45" customFormat="1" ht="14.25" customHeight="1"/>
    <row r="282" s="45" customFormat="1" ht="14.25" customHeight="1"/>
    <row r="283" s="45" customFormat="1" ht="14.25" customHeight="1"/>
    <row r="284" s="45" customFormat="1" ht="14.25" customHeight="1"/>
    <row r="285" s="45" customFormat="1" ht="14.25" customHeight="1"/>
    <row r="286" s="45" customFormat="1" ht="14.25" customHeight="1"/>
    <row r="287" s="45" customFormat="1" ht="14.25" customHeight="1"/>
    <row r="288" s="45" customFormat="1" ht="14.25" customHeight="1"/>
    <row r="289" s="45" customFormat="1" ht="14.25" customHeight="1"/>
    <row r="290" s="45" customFormat="1" ht="14.25" customHeight="1"/>
    <row r="291" s="45" customFormat="1" ht="14.25" customHeight="1"/>
    <row r="292" s="45" customFormat="1" ht="14.25" customHeight="1"/>
    <row r="293" s="45" customFormat="1" ht="14.25" customHeight="1"/>
    <row r="294" s="45" customFormat="1" ht="14.25" customHeight="1"/>
    <row r="295" s="45" customFormat="1" ht="14.25" customHeight="1"/>
    <row r="296" s="45" customFormat="1" ht="14.25" customHeight="1"/>
    <row r="297" s="45" customFormat="1" ht="14.25" customHeight="1"/>
    <row r="298" s="45" customFormat="1" ht="14.25" customHeight="1"/>
    <row r="299" s="45" customFormat="1" ht="14.25" customHeight="1"/>
    <row r="300" s="45" customFormat="1" ht="14.25" customHeight="1"/>
    <row r="301" s="45" customFormat="1" ht="14.25" customHeight="1"/>
    <row r="302" s="45" customFormat="1" ht="14.25" customHeight="1"/>
    <row r="303" s="45" customFormat="1" ht="14.25" customHeight="1"/>
    <row r="304" s="45" customFormat="1" ht="14.25" customHeight="1"/>
    <row r="305" s="45" customFormat="1" ht="14.25" customHeight="1"/>
    <row r="306" s="45" customFormat="1" ht="14.25" customHeight="1"/>
    <row r="307" s="45" customFormat="1" ht="14.25" customHeight="1"/>
    <row r="308" s="45" customFormat="1" ht="14.25" customHeight="1"/>
    <row r="309" s="45" customFormat="1" ht="14.25" customHeight="1"/>
    <row r="310" s="45" customFormat="1" ht="14.25" customHeight="1"/>
    <row r="311" s="45" customFormat="1" ht="14.25" customHeight="1"/>
    <row r="312" s="45" customFormat="1" ht="14.25" customHeight="1"/>
    <row r="313" s="45" customFormat="1" ht="14.25" customHeight="1"/>
    <row r="314" s="45" customFormat="1" ht="14.25" customHeight="1"/>
    <row r="315" s="45" customFormat="1" ht="14.25" customHeight="1"/>
    <row r="316" s="45" customFormat="1" ht="14.25" customHeight="1"/>
    <row r="317" s="45" customFormat="1" ht="14.25" customHeight="1"/>
    <row r="318" s="45" customFormat="1" ht="14.25" customHeight="1"/>
    <row r="319" s="45" customFormat="1" ht="14.25" customHeight="1"/>
    <row r="320" s="45" customFormat="1" ht="14.25" customHeight="1"/>
    <row r="321" s="45" customFormat="1" ht="14.25" customHeight="1"/>
    <row r="322" s="45" customFormat="1" ht="14.25" customHeight="1"/>
    <row r="323" s="45" customFormat="1" ht="14.25" customHeight="1"/>
    <row r="324" s="45" customFormat="1" ht="14.25" customHeight="1"/>
    <row r="325" s="45" customFormat="1" ht="14.25" customHeight="1"/>
    <row r="326" s="45" customFormat="1" ht="14.25" customHeight="1"/>
    <row r="327" s="45" customFormat="1" ht="14.25" customHeight="1"/>
    <row r="328" s="45" customFormat="1" ht="14.25" customHeight="1"/>
    <row r="329" s="45" customFormat="1" ht="14.25" customHeight="1"/>
    <row r="330" s="45" customFormat="1" ht="14.25" customHeight="1"/>
    <row r="331" s="45" customFormat="1" ht="14.25" customHeight="1"/>
    <row r="332" s="45" customFormat="1" ht="14.25" customHeight="1"/>
    <row r="333" s="45" customFormat="1" ht="14.25" customHeight="1"/>
    <row r="334" s="45" customFormat="1" ht="14.25" customHeight="1"/>
    <row r="335" s="45" customFormat="1" ht="14.25" customHeight="1"/>
    <row r="336" s="45" customFormat="1" ht="14.25" customHeight="1"/>
    <row r="337" s="45" customFormat="1" ht="14.25" customHeight="1"/>
    <row r="338" s="45" customFormat="1" ht="14.25" customHeight="1"/>
    <row r="339" s="45" customFormat="1" ht="14.25" customHeight="1"/>
    <row r="340" s="45" customFormat="1" ht="14.25" customHeight="1"/>
    <row r="341" s="45" customFormat="1" ht="14.25" customHeight="1"/>
    <row r="342" s="45" customFormat="1" ht="14.25" customHeight="1"/>
    <row r="343" s="45" customFormat="1" ht="14.25" customHeight="1"/>
    <row r="344" s="45" customFormat="1" ht="14.25" customHeight="1"/>
    <row r="345" s="45" customFormat="1" ht="14.25" customHeight="1"/>
    <row r="346" s="45" customFormat="1" ht="14.25" customHeight="1"/>
    <row r="347" s="45" customFormat="1" ht="14.25" customHeight="1"/>
    <row r="348" s="45" customFormat="1" ht="14.25" customHeight="1"/>
    <row r="349" s="45" customFormat="1" ht="14.25" customHeight="1"/>
    <row r="350" s="45" customFormat="1" ht="14.25" customHeight="1"/>
    <row r="351" s="45" customFormat="1" ht="14.25" customHeight="1"/>
    <row r="352" s="45" customFormat="1" ht="14.25" customHeight="1"/>
    <row r="353" s="45" customFormat="1" ht="14.25" customHeight="1"/>
    <row r="354" s="45" customFormat="1" ht="14.25" customHeight="1"/>
    <row r="355" s="45" customFormat="1" ht="14.25" customHeight="1"/>
    <row r="356" s="45" customFormat="1" ht="14.25" customHeight="1"/>
    <row r="357" s="45" customFormat="1" ht="14.25" customHeight="1"/>
    <row r="358" s="45" customFormat="1" ht="14.25" customHeight="1"/>
    <row r="359" s="45" customFormat="1" ht="14.25" customHeight="1"/>
    <row r="360" s="45" customFormat="1" ht="14.25" customHeight="1"/>
    <row r="361" s="45" customFormat="1" ht="14.25" customHeight="1"/>
    <row r="362" s="45" customFormat="1" ht="14.25" customHeight="1"/>
    <row r="363" s="45" customFormat="1" ht="14.25" customHeight="1"/>
    <row r="364" s="45" customFormat="1" ht="14.25" customHeight="1"/>
    <row r="365" s="45" customFormat="1" ht="14.25" customHeight="1"/>
    <row r="366" s="45" customFormat="1" ht="14.25" customHeight="1"/>
    <row r="367" s="45" customFormat="1" ht="14.25" customHeight="1"/>
    <row r="368" s="45" customFormat="1" ht="14.25" customHeight="1"/>
    <row r="369" s="45" customFormat="1" ht="14.25" customHeight="1"/>
    <row r="370" s="45" customFormat="1" ht="14.25" customHeight="1"/>
    <row r="371" s="45" customFormat="1" ht="14.25" customHeight="1"/>
    <row r="372" s="45" customFormat="1" ht="14.25" customHeight="1"/>
    <row r="373" s="45" customFormat="1" ht="14.25" customHeight="1"/>
    <row r="374" s="45" customFormat="1" ht="14.25" customHeight="1"/>
    <row r="375" s="45" customFormat="1" ht="14.25" customHeight="1"/>
    <row r="376" s="45" customFormat="1" ht="14.25" customHeight="1"/>
    <row r="377" s="45" customFormat="1" ht="14.25" customHeight="1"/>
    <row r="378" s="45" customFormat="1" ht="14.25" customHeight="1"/>
    <row r="379" s="45" customFormat="1" ht="14.25" customHeight="1"/>
    <row r="380" s="45" customFormat="1" ht="14.25" customHeight="1"/>
    <row r="381" s="45" customFormat="1" ht="14.25" customHeight="1"/>
    <row r="382" s="45" customFormat="1" ht="14.25" customHeight="1"/>
    <row r="383" s="45" customFormat="1" ht="14.25" customHeight="1"/>
    <row r="384" s="45" customFormat="1" ht="14.25" customHeight="1"/>
    <row r="385" s="45" customFormat="1" ht="14.25" customHeight="1"/>
    <row r="386" s="45" customFormat="1" ht="14.25" customHeight="1"/>
    <row r="387" s="45" customFormat="1" ht="14.25" customHeight="1"/>
    <row r="388" s="45" customFormat="1" ht="14.25" customHeight="1"/>
    <row r="389" s="45" customFormat="1" ht="14.25" customHeight="1"/>
    <row r="390" s="45" customFormat="1" ht="14.25" customHeight="1"/>
    <row r="391" s="45" customFormat="1" ht="14.25" customHeight="1"/>
    <row r="392" s="45" customFormat="1" ht="14.25" customHeight="1"/>
    <row r="393" s="45" customFormat="1" ht="14.25" customHeight="1"/>
    <row r="394" s="45" customFormat="1" ht="14.25" customHeight="1"/>
    <row r="395" s="45" customFormat="1" ht="14.25" customHeight="1"/>
    <row r="396" s="45" customFormat="1" ht="14.25" customHeight="1"/>
    <row r="397" s="45" customFormat="1" ht="14.25" customHeight="1"/>
    <row r="398" s="45" customFormat="1" ht="14.25" customHeight="1"/>
    <row r="399" s="45" customFormat="1" ht="14.25" customHeight="1"/>
    <row r="400" s="45" customFormat="1" ht="14.25" customHeight="1"/>
    <row r="401" s="45" customFormat="1" ht="14.25" customHeight="1"/>
    <row r="402" s="45" customFormat="1" ht="14.25" customHeight="1"/>
    <row r="403" s="45" customFormat="1" ht="14.25" customHeight="1"/>
    <row r="404" s="45" customFormat="1" ht="14.25" customHeight="1"/>
    <row r="405" s="45" customFormat="1" ht="14.25" customHeight="1"/>
    <row r="406" s="45" customFormat="1" ht="14.25" customHeight="1"/>
    <row r="407" s="45" customFormat="1" ht="14.25" customHeight="1"/>
    <row r="408" s="45" customFormat="1" ht="14.25" customHeight="1"/>
    <row r="409" s="45" customFormat="1" ht="14.25" customHeight="1"/>
    <row r="410" s="45" customFormat="1" ht="14.25" customHeight="1"/>
    <row r="411" s="45" customFormat="1" ht="14.25" customHeight="1"/>
    <row r="412" s="45" customFormat="1" ht="14.25" customHeight="1"/>
    <row r="413" s="45" customFormat="1" ht="14.25" customHeight="1"/>
    <row r="414" s="45" customFormat="1" ht="14.25" customHeight="1"/>
    <row r="415" s="45" customFormat="1" ht="14.25" customHeight="1"/>
    <row r="416" s="45" customFormat="1" ht="14.25" customHeight="1"/>
    <row r="417" s="45" customFormat="1" ht="14.25" customHeight="1"/>
    <row r="418" s="45" customFormat="1" ht="14.25" customHeight="1"/>
    <row r="419" s="45" customFormat="1" ht="14.25" customHeight="1"/>
    <row r="420" s="45" customFormat="1" ht="14.25" customHeight="1"/>
    <row r="421" s="45" customFormat="1" ht="14.25" customHeight="1"/>
    <row r="422" s="45" customFormat="1" ht="14.25" customHeight="1"/>
    <row r="423" s="45" customFormat="1" ht="14.25" customHeight="1"/>
    <row r="424" s="45" customFormat="1" ht="14.25" customHeight="1"/>
    <row r="425" s="45" customFormat="1" ht="14.25" customHeight="1"/>
    <row r="426" s="45" customFormat="1" ht="14.25" customHeight="1"/>
    <row r="427" s="45" customFormat="1" ht="14.25" customHeight="1"/>
    <row r="428" s="45" customFormat="1" ht="14.25" customHeight="1"/>
    <row r="429" s="45" customFormat="1" ht="14.25" customHeight="1"/>
    <row r="430" s="45" customFormat="1" ht="14.25" customHeight="1"/>
    <row r="431" s="45" customFormat="1" ht="14.25" customHeight="1"/>
    <row r="432" s="45" customFormat="1" ht="14.25" customHeight="1"/>
    <row r="433" s="45" customFormat="1" ht="14.25" customHeight="1"/>
    <row r="434" s="45" customFormat="1" ht="14.25" customHeight="1"/>
    <row r="435" s="45" customFormat="1" ht="14.25" customHeight="1"/>
    <row r="436" s="45" customFormat="1" ht="14.25" customHeight="1"/>
    <row r="437" s="45" customFormat="1" ht="14.25" customHeight="1"/>
    <row r="438" s="45" customFormat="1" ht="14.25" customHeight="1"/>
    <row r="439" s="45" customFormat="1" ht="14.25" customHeight="1"/>
    <row r="440" s="45" customFormat="1" ht="14.25" customHeight="1"/>
    <row r="441" s="45" customFormat="1" ht="14.25" customHeight="1"/>
    <row r="442" s="45" customFormat="1" ht="14.25" customHeight="1"/>
    <row r="443" s="45" customFormat="1" ht="14.25" customHeight="1"/>
    <row r="444" s="45" customFormat="1" ht="14.25" customHeight="1"/>
    <row r="445" s="45" customFormat="1" ht="14.25" customHeight="1"/>
    <row r="446" s="45" customFormat="1" ht="14.25" customHeight="1"/>
    <row r="447" s="45" customFormat="1" ht="14.25" customHeight="1"/>
    <row r="448" s="45" customFormat="1" ht="14.25" customHeight="1"/>
    <row r="449" s="45" customFormat="1" ht="14.25" customHeight="1"/>
    <row r="450" s="45" customFormat="1" ht="14.25" customHeight="1"/>
    <row r="451" s="45" customFormat="1" ht="14.25" customHeight="1"/>
    <row r="452" s="45" customFormat="1" ht="14.25" customHeight="1"/>
    <row r="453" s="45" customFormat="1" ht="14.25" customHeight="1"/>
    <row r="454" s="45" customFormat="1" ht="14.25" customHeight="1"/>
    <row r="455" s="45" customFormat="1" ht="14.25" customHeight="1"/>
    <row r="456" s="45" customFormat="1" ht="14.25" customHeight="1"/>
    <row r="457" s="45" customFormat="1" ht="14.25" customHeight="1"/>
    <row r="458" s="45" customFormat="1" ht="14.25" customHeight="1"/>
    <row r="459" s="45" customFormat="1" ht="14.25" customHeight="1"/>
    <row r="460" s="45" customFormat="1" ht="14.25" customHeight="1"/>
    <row r="461" s="45" customFormat="1" ht="14.25" customHeight="1"/>
    <row r="462" s="45" customFormat="1" ht="14.25" customHeight="1"/>
    <row r="463" s="45" customFormat="1" ht="14.25" customHeight="1"/>
    <row r="464" s="45" customFormat="1" ht="14.25" customHeight="1"/>
    <row r="465" s="45" customFormat="1" ht="14.25" customHeight="1"/>
    <row r="466" s="45" customFormat="1" ht="14.25" customHeight="1"/>
    <row r="467" s="45" customFormat="1" ht="14.25" customHeight="1"/>
    <row r="468" s="45" customFormat="1" ht="14.25" customHeight="1"/>
    <row r="469" s="45" customFormat="1" ht="14.25" customHeight="1"/>
    <row r="470" s="45" customFormat="1" ht="14.25" customHeight="1"/>
    <row r="471" s="45" customFormat="1" ht="14.25" customHeight="1"/>
    <row r="472" s="45" customFormat="1" ht="14.25" customHeight="1"/>
    <row r="473" s="45" customFormat="1" ht="14.25" customHeight="1"/>
    <row r="474" s="45" customFormat="1" ht="14.25" customHeight="1"/>
    <row r="475" s="45" customFormat="1" ht="14.25" customHeight="1"/>
    <row r="476" s="45" customFormat="1" ht="14.25" customHeight="1"/>
    <row r="477" s="45" customFormat="1" ht="14.25" customHeight="1"/>
    <row r="478" s="45" customFormat="1" ht="14.25" customHeight="1"/>
    <row r="479" s="45" customFormat="1" ht="14.25" customHeight="1"/>
    <row r="480" s="45" customFormat="1" ht="14.25" customHeight="1"/>
    <row r="481" s="45" customFormat="1" ht="14.25" customHeight="1"/>
    <row r="482" s="45" customFormat="1" ht="14.25" customHeight="1"/>
    <row r="483" s="45" customFormat="1" ht="14.25" customHeight="1"/>
    <row r="484" s="45" customFormat="1" ht="14.25" customHeight="1"/>
    <row r="485" s="45" customFormat="1" ht="14.25" customHeight="1"/>
    <row r="486" s="45" customFormat="1" ht="14.25" customHeight="1"/>
    <row r="487" s="45" customFormat="1" ht="14.25" customHeight="1"/>
    <row r="488" s="45" customFormat="1" ht="14.25" customHeight="1"/>
    <row r="489" s="45" customFormat="1" ht="14.25" customHeight="1"/>
    <row r="490" s="45" customFormat="1" ht="14.25" customHeight="1"/>
    <row r="491" s="45" customFormat="1" ht="14.25" customHeight="1"/>
    <row r="492" s="45" customFormat="1" ht="14.25" customHeight="1"/>
    <row r="493" s="45" customFormat="1" ht="14.25" customHeight="1"/>
    <row r="494" s="45" customFormat="1" ht="14.25" customHeight="1"/>
    <row r="495" s="45" customFormat="1" ht="14.25" customHeight="1"/>
    <row r="496" s="45" customFormat="1" ht="14.25" customHeight="1"/>
    <row r="497" s="45" customFormat="1" ht="14.25" customHeight="1"/>
    <row r="498" s="45" customFormat="1" ht="14.25" customHeight="1"/>
    <row r="499" s="45" customFormat="1" ht="14.25" customHeight="1"/>
    <row r="500" s="45" customFormat="1" ht="14.25" customHeight="1"/>
    <row r="501" s="45" customFormat="1" ht="14.25" customHeight="1"/>
    <row r="502" s="45" customFormat="1" ht="14.25" customHeight="1"/>
    <row r="503" s="45" customFormat="1" ht="14.25" customHeight="1"/>
    <row r="504" s="45" customFormat="1" ht="14.25" customHeight="1"/>
    <row r="505" s="45" customFormat="1" ht="14.25" customHeight="1"/>
    <row r="506" s="45" customFormat="1" ht="14.25" customHeight="1"/>
    <row r="507" s="45" customFormat="1" ht="14.25" customHeight="1"/>
    <row r="508" s="45" customFormat="1" ht="14.25" customHeight="1"/>
    <row r="509" s="45" customFormat="1" ht="14.25" customHeight="1"/>
    <row r="510" s="45" customFormat="1" ht="14.25" customHeight="1"/>
    <row r="511" s="45" customFormat="1" ht="14.25" customHeight="1"/>
    <row r="512" s="45" customFormat="1" ht="14.25" customHeight="1"/>
    <row r="513" s="45" customFormat="1" ht="14.25" customHeight="1"/>
    <row r="514" s="45" customFormat="1" ht="14.25" customHeight="1"/>
    <row r="515" s="45" customFormat="1" ht="14.25" customHeight="1"/>
    <row r="516" s="45" customFormat="1" ht="14.25" customHeight="1"/>
    <row r="517" s="45" customFormat="1" ht="14.25" customHeight="1"/>
    <row r="518" s="45" customFormat="1" ht="14.25" customHeight="1"/>
    <row r="519" s="45" customFormat="1" ht="14.25" customHeight="1"/>
    <row r="520" s="45" customFormat="1" ht="14.25" customHeight="1"/>
    <row r="521" s="45" customFormat="1" ht="14.25" customHeight="1"/>
    <row r="522" s="45" customFormat="1" ht="14.25" customHeight="1"/>
    <row r="523" s="45" customFormat="1" ht="14.25" customHeight="1"/>
    <row r="524" s="45" customFormat="1" ht="14.25" customHeight="1"/>
    <row r="525" s="45" customFormat="1" ht="14.25" customHeight="1"/>
    <row r="526" s="45" customFormat="1" ht="14.25" customHeight="1"/>
    <row r="527" s="45" customFormat="1" ht="14.25" customHeight="1"/>
    <row r="528" s="45" customFormat="1" ht="14.25" customHeight="1"/>
    <row r="529" s="45" customFormat="1" ht="14.25" customHeight="1"/>
    <row r="530" s="45" customFormat="1" ht="14.25" customHeight="1"/>
    <row r="531" s="45" customFormat="1" ht="14.25" customHeight="1"/>
    <row r="532" s="45" customFormat="1" ht="14.25" customHeight="1"/>
    <row r="533" s="45" customFormat="1" ht="14.25" customHeight="1"/>
    <row r="534" s="45" customFormat="1" ht="14.25" customHeight="1"/>
    <row r="535" s="45" customFormat="1" ht="14.25" customHeight="1"/>
    <row r="536" s="45" customFormat="1" ht="14.25" customHeight="1"/>
    <row r="537" s="45" customFormat="1" ht="14.25" customHeight="1"/>
    <row r="538" s="45" customFormat="1" ht="14.25" customHeight="1"/>
    <row r="539" s="45" customFormat="1" ht="14.25" customHeight="1"/>
    <row r="540" s="45" customFormat="1" ht="14.25" customHeight="1"/>
    <row r="541" s="45" customFormat="1" ht="14.25" customHeight="1"/>
    <row r="542" s="45" customFormat="1" ht="14.25" customHeight="1"/>
    <row r="543" s="45" customFormat="1" ht="14.25" customHeight="1"/>
    <row r="544" s="45" customFormat="1" ht="14.25" customHeight="1"/>
    <row r="545" s="45" customFormat="1" ht="14.25" customHeight="1"/>
    <row r="546" s="45" customFormat="1" ht="14.25" customHeight="1"/>
    <row r="547" s="45" customFormat="1" ht="14.25" customHeight="1"/>
    <row r="548" s="45" customFormat="1" ht="14.25" customHeight="1"/>
    <row r="549" s="45" customFormat="1" ht="14.25" customHeight="1"/>
    <row r="550" s="45" customFormat="1" ht="14.25" customHeight="1"/>
    <row r="551" s="45" customFormat="1" ht="14.25" customHeight="1"/>
    <row r="552" s="45" customFormat="1" ht="14.25" customHeight="1"/>
    <row r="553" s="45" customFormat="1" ht="14.25" customHeight="1"/>
    <row r="554" s="45" customFormat="1" ht="14.25" customHeight="1"/>
    <row r="555" s="45" customFormat="1" ht="14.25" customHeight="1"/>
    <row r="556" s="45" customFormat="1" ht="14.25" customHeight="1"/>
    <row r="557" s="45" customFormat="1" ht="14.25" customHeight="1"/>
    <row r="558" s="45" customFormat="1" ht="14.25" customHeight="1"/>
    <row r="559" s="45" customFormat="1" ht="14.25" customHeight="1"/>
    <row r="560" s="45" customFormat="1" ht="14.25" customHeight="1"/>
    <row r="561" s="45" customFormat="1" ht="14.25" customHeight="1"/>
    <row r="562" s="45" customFormat="1" ht="14.25" customHeight="1"/>
    <row r="563" s="45" customFormat="1" ht="14.25" customHeight="1"/>
    <row r="564" s="45" customFormat="1" ht="14.25" customHeight="1"/>
    <row r="565" s="45" customFormat="1" ht="14.25" customHeight="1"/>
    <row r="566" s="45" customFormat="1" ht="14.25" customHeight="1"/>
    <row r="567" s="45" customFormat="1" ht="14.25" customHeight="1"/>
    <row r="568" s="45" customFormat="1" ht="14.25" customHeight="1"/>
    <row r="569" s="45" customFormat="1" ht="14.25" customHeight="1"/>
    <row r="570" s="45" customFormat="1" ht="14.25" customHeight="1"/>
    <row r="571" s="45" customFormat="1" ht="14.25" customHeight="1"/>
    <row r="572" s="45" customFormat="1" ht="14.25" customHeight="1"/>
    <row r="573" s="45" customFormat="1" ht="14.25" customHeight="1"/>
    <row r="574" s="45" customFormat="1" ht="14.25" customHeight="1"/>
    <row r="575" s="45" customFormat="1" ht="14.25" customHeight="1"/>
    <row r="576" s="45" customFormat="1" ht="14.25" customHeight="1"/>
    <row r="577" s="45" customFormat="1" ht="14.25" customHeight="1"/>
    <row r="578" s="45" customFormat="1" ht="14.25" customHeight="1"/>
    <row r="579" s="45" customFormat="1" ht="14.25" customHeight="1"/>
    <row r="580" s="45" customFormat="1" ht="14.25" customHeight="1"/>
    <row r="581" s="45" customFormat="1" ht="14.25" customHeight="1"/>
    <row r="582" s="45" customFormat="1" ht="14.25" customHeight="1"/>
    <row r="583" s="45" customFormat="1" ht="14.25" customHeight="1"/>
    <row r="584" s="45" customFormat="1" ht="14.25" customHeight="1"/>
    <row r="585" s="45" customFormat="1" ht="14.25" customHeight="1"/>
    <row r="586" s="45" customFormat="1" ht="14.25" customHeight="1"/>
    <row r="587" s="45" customFormat="1" ht="14.25" customHeight="1"/>
    <row r="588" s="45" customFormat="1" ht="14.25" customHeight="1"/>
    <row r="589" s="45" customFormat="1" ht="14.25" customHeight="1"/>
    <row r="590" s="45" customFormat="1" ht="14.25" customHeight="1"/>
    <row r="591" s="45" customFormat="1" ht="14.25" customHeight="1"/>
    <row r="592" s="45" customFormat="1" ht="14.25" customHeight="1"/>
    <row r="593" s="45" customFormat="1" ht="14.25" customHeight="1"/>
    <row r="594" s="45" customFormat="1" ht="14.25" customHeight="1"/>
    <row r="595" s="45" customFormat="1" ht="14.25" customHeight="1"/>
    <row r="596" s="45" customFormat="1" ht="14.25" customHeight="1"/>
    <row r="597" s="45" customFormat="1" ht="14.25" customHeight="1"/>
    <row r="598" s="45" customFormat="1" ht="14.25" customHeight="1"/>
    <row r="599" s="45" customFormat="1" ht="14.25" customHeight="1"/>
    <row r="600" s="45" customFormat="1" ht="14.25" customHeight="1"/>
    <row r="601" s="45" customFormat="1" ht="14.25" customHeight="1"/>
    <row r="602" s="45" customFormat="1" ht="14.25" customHeight="1"/>
    <row r="603" s="45" customFormat="1" ht="14.25" customHeight="1"/>
    <row r="604" s="45" customFormat="1" ht="14.25" customHeight="1"/>
    <row r="605" s="45" customFormat="1" ht="14.25" customHeight="1"/>
    <row r="606" s="45" customFormat="1" ht="14.25" customHeight="1"/>
    <row r="607" s="45" customFormat="1" ht="14.25" customHeight="1"/>
    <row r="608" s="45" customFormat="1" ht="14.25" customHeight="1"/>
    <row r="609" s="45" customFormat="1" ht="14.25" customHeight="1"/>
    <row r="610" s="45" customFormat="1" ht="14.25" customHeight="1"/>
    <row r="611" s="45" customFormat="1" ht="14.25" customHeight="1"/>
    <row r="612" s="45" customFormat="1" ht="14.25" customHeight="1"/>
    <row r="613" s="45" customFormat="1" ht="14.25" customHeight="1"/>
    <row r="614" s="45" customFormat="1" ht="14.25" customHeight="1"/>
    <row r="615" s="45" customFormat="1" ht="14.25" customHeight="1"/>
    <row r="616" s="45" customFormat="1" ht="14.25" customHeight="1"/>
    <row r="617" s="45" customFormat="1" ht="14.25" customHeight="1"/>
    <row r="618" s="45" customFormat="1" ht="14.25" customHeight="1"/>
    <row r="619" s="45" customFormat="1" ht="14.25" customHeight="1"/>
    <row r="620" s="45" customFormat="1" ht="14.25" customHeight="1"/>
    <row r="621" s="45" customFormat="1" ht="14.25" customHeight="1"/>
    <row r="622" s="45" customFormat="1" ht="14.25" customHeight="1"/>
    <row r="623" s="45" customFormat="1" ht="14.25" customHeight="1"/>
    <row r="624" s="45" customFormat="1" ht="14.25" customHeight="1"/>
    <row r="625" s="45" customFormat="1" ht="14.25" customHeight="1"/>
    <row r="626" s="45" customFormat="1" ht="14.25" customHeight="1"/>
    <row r="627" s="45" customFormat="1" ht="14.25" customHeight="1"/>
    <row r="628" s="45" customFormat="1" ht="14.25" customHeight="1"/>
    <row r="629" s="45" customFormat="1" ht="14.25" customHeight="1"/>
    <row r="630" s="45" customFormat="1" ht="14.25" customHeight="1"/>
    <row r="631" s="45" customFormat="1" ht="14.25" customHeight="1"/>
    <row r="632" s="45" customFormat="1" ht="14.25" customHeight="1"/>
    <row r="633" s="45" customFormat="1" ht="14.25" customHeight="1"/>
    <row r="634" s="45" customFormat="1" ht="14.25" customHeight="1"/>
    <row r="635" s="45" customFormat="1" ht="14.25" customHeight="1"/>
    <row r="636" s="45" customFormat="1" ht="14.25" customHeight="1"/>
    <row r="637" s="45" customFormat="1" ht="14.25" customHeight="1"/>
    <row r="638" s="45" customFormat="1" ht="14.25" customHeight="1"/>
    <row r="639" s="45" customFormat="1" ht="14.25" customHeight="1"/>
    <row r="640" s="45" customFormat="1" ht="14.25" customHeight="1"/>
    <row r="641" s="45" customFormat="1" ht="14.25" customHeight="1"/>
    <row r="642" s="45" customFormat="1" ht="14.25" customHeight="1"/>
    <row r="643" s="45" customFormat="1" ht="14.25" customHeight="1"/>
    <row r="644" s="45" customFormat="1" ht="14.25" customHeight="1"/>
    <row r="645" s="45" customFormat="1" ht="14.25" customHeight="1"/>
    <row r="646" s="45" customFormat="1" ht="14.25" customHeight="1"/>
    <row r="647" s="45" customFormat="1" ht="14.25" customHeight="1"/>
    <row r="648" s="45" customFormat="1" ht="14.25" customHeight="1"/>
    <row r="649" s="45" customFormat="1" ht="14.25" customHeight="1"/>
    <row r="650" s="45" customFormat="1" ht="14.25" customHeight="1"/>
    <row r="651" s="45" customFormat="1" ht="14.25" customHeight="1"/>
    <row r="652" s="45" customFormat="1" ht="14.25" customHeight="1"/>
    <row r="653" s="45" customFormat="1" ht="14.25" customHeight="1"/>
    <row r="654" s="45" customFormat="1" ht="14.25" customHeight="1"/>
    <row r="655" s="45" customFormat="1" ht="14.25" customHeight="1"/>
    <row r="656" s="45" customFormat="1" ht="14.25" customHeight="1"/>
    <row r="657" s="45" customFormat="1" ht="14.25" customHeight="1"/>
    <row r="658" s="45" customFormat="1" ht="14.25" customHeight="1"/>
    <row r="659" s="45" customFormat="1" ht="14.25" customHeight="1"/>
    <row r="660" s="45" customFormat="1" ht="14.25" customHeight="1"/>
    <row r="661" s="45" customFormat="1" ht="14.25" customHeight="1"/>
    <row r="662" s="45" customFormat="1" ht="14.25" customHeight="1"/>
    <row r="663" s="45" customFormat="1" ht="14.25" customHeight="1"/>
    <row r="664" s="45" customFormat="1" ht="14.25" customHeight="1"/>
    <row r="665" s="45" customFormat="1" ht="14.25" customHeight="1"/>
    <row r="666" s="45" customFormat="1" ht="14.25" customHeight="1"/>
    <row r="667" s="45" customFormat="1" ht="14.25" customHeight="1"/>
    <row r="668" s="45" customFormat="1" ht="14.25" customHeight="1"/>
    <row r="669" s="45" customFormat="1" ht="14.25" customHeight="1"/>
    <row r="670" s="45" customFormat="1" ht="14.25" customHeight="1"/>
    <row r="671" s="45" customFormat="1" ht="14.25" customHeight="1"/>
    <row r="672" s="45" customFormat="1" ht="14.25" customHeight="1"/>
    <row r="673" s="45" customFormat="1" ht="14.25" customHeight="1"/>
    <row r="674" s="45" customFormat="1" ht="14.25" customHeight="1"/>
    <row r="675" s="45" customFormat="1" ht="14.25" customHeight="1"/>
    <row r="676" s="45" customFormat="1" ht="14.25" customHeight="1"/>
    <row r="677" s="45" customFormat="1" ht="14.25" customHeight="1"/>
    <row r="678" s="45" customFormat="1" ht="14.25" customHeight="1"/>
    <row r="679" s="45" customFormat="1" ht="14.25" customHeight="1"/>
    <row r="680" s="45" customFormat="1" ht="14.25" customHeight="1"/>
    <row r="681" s="45" customFormat="1" ht="14.25" customHeight="1"/>
    <row r="682" s="45" customFormat="1" ht="14.25" customHeight="1"/>
    <row r="683" s="45" customFormat="1" ht="14.25" customHeight="1"/>
    <row r="684" s="45" customFormat="1" ht="14.25" customHeight="1"/>
    <row r="685" s="45" customFormat="1" ht="14.25" customHeight="1"/>
    <row r="686" s="45" customFormat="1" ht="14.25" customHeight="1"/>
    <row r="687" s="45" customFormat="1" ht="14.25" customHeight="1"/>
    <row r="688" s="45" customFormat="1" ht="14.25" customHeight="1"/>
    <row r="689" s="45" customFormat="1" ht="14.25" customHeight="1"/>
    <row r="690" s="45" customFormat="1" ht="14.25" customHeight="1"/>
    <row r="691" s="45" customFormat="1" ht="14.25" customHeight="1"/>
    <row r="692" s="45" customFormat="1" ht="14.25" customHeight="1"/>
    <row r="693" s="45" customFormat="1" ht="14.25" customHeight="1"/>
    <row r="694" s="45" customFormat="1" ht="14.25" customHeight="1"/>
    <row r="695" s="45" customFormat="1" ht="14.25" customHeight="1"/>
    <row r="696" s="45" customFormat="1" ht="14.25" customHeight="1"/>
    <row r="697" s="45" customFormat="1" ht="14.25" customHeight="1"/>
    <row r="698" s="45" customFormat="1" ht="14.25" customHeight="1"/>
    <row r="699" s="45" customFormat="1" ht="14.25" customHeight="1"/>
    <row r="700" s="45" customFormat="1" ht="14.25" customHeight="1"/>
    <row r="701" s="45" customFormat="1" ht="14.25" customHeight="1"/>
    <row r="702" s="45" customFormat="1" ht="14.25" customHeight="1"/>
    <row r="703" s="45" customFormat="1" ht="14.25" customHeight="1"/>
    <row r="704" s="45" customFormat="1" ht="14.25" customHeight="1"/>
    <row r="705" s="45" customFormat="1" ht="14.25" customHeight="1"/>
    <row r="706" s="45" customFormat="1" ht="14.25" customHeight="1"/>
    <row r="707" s="45" customFormat="1" ht="14.25" customHeight="1"/>
    <row r="708" s="45" customFormat="1" ht="14.25" customHeight="1"/>
    <row r="709" s="45" customFormat="1" ht="14.25" customHeight="1"/>
    <row r="710" s="45" customFormat="1" ht="14.25" customHeight="1"/>
    <row r="711" s="45" customFormat="1" ht="14.25" customHeight="1"/>
    <row r="712" s="45" customFormat="1" ht="14.25" customHeight="1"/>
    <row r="713" s="45" customFormat="1" ht="14.25" customHeight="1"/>
    <row r="714" s="45" customFormat="1" ht="14.25" customHeight="1"/>
    <row r="715" s="45" customFormat="1" ht="14.25" customHeight="1"/>
    <row r="716" s="45" customFormat="1" ht="14.25" customHeight="1"/>
    <row r="717" s="45" customFormat="1" ht="14.25" customHeight="1"/>
    <row r="718" s="45" customFormat="1" ht="14.25" customHeight="1"/>
    <row r="719" s="45" customFormat="1" ht="14.25" customHeight="1"/>
    <row r="720" s="45" customFormat="1" ht="14.25" customHeight="1"/>
    <row r="721" s="45" customFormat="1" ht="14.25" customHeight="1"/>
    <row r="722" s="45" customFormat="1" ht="14.25" customHeight="1"/>
    <row r="723" s="45" customFormat="1" ht="14.25" customHeight="1"/>
    <row r="724" s="45" customFormat="1" ht="14.25" customHeight="1"/>
    <row r="725" s="45" customFormat="1" ht="14.25" customHeight="1"/>
    <row r="726" s="45" customFormat="1" ht="14.25" customHeight="1"/>
    <row r="727" s="45" customFormat="1" ht="14.25" customHeight="1"/>
    <row r="728" s="45" customFormat="1" ht="14.25" customHeight="1"/>
    <row r="729" s="45" customFormat="1" ht="14.25" customHeight="1"/>
    <row r="730" s="45" customFormat="1" ht="14.25" customHeight="1"/>
    <row r="731" s="45" customFormat="1" ht="14.25" customHeight="1"/>
    <row r="732" s="45" customFormat="1" ht="14.25" customHeight="1"/>
    <row r="733" s="45" customFormat="1" ht="14.25" customHeight="1"/>
    <row r="734" s="45" customFormat="1" ht="14.25" customHeight="1"/>
    <row r="735" s="45" customFormat="1" ht="14.25" customHeight="1"/>
    <row r="736" s="45" customFormat="1" ht="14.25" customHeight="1"/>
    <row r="737" s="45" customFormat="1" ht="14.25" customHeight="1"/>
    <row r="738" s="45" customFormat="1" ht="14.25" customHeight="1"/>
    <row r="739" s="45" customFormat="1" ht="14.25" customHeight="1"/>
    <row r="740" s="45" customFormat="1" ht="14.25" customHeight="1"/>
    <row r="741" s="45" customFormat="1" ht="14.25" customHeight="1"/>
    <row r="742" s="45" customFormat="1" ht="14.25" customHeight="1"/>
    <row r="743" s="45" customFormat="1" ht="14.25" customHeight="1"/>
    <row r="744" s="45" customFormat="1" ht="14.25" customHeight="1"/>
    <row r="745" s="45" customFormat="1" ht="14.25" customHeight="1"/>
    <row r="746" s="45" customFormat="1" ht="14.25" customHeight="1"/>
    <row r="747" s="45" customFormat="1" ht="14.25" customHeight="1"/>
    <row r="748" s="45" customFormat="1" ht="14.25" customHeight="1"/>
    <row r="749" s="45" customFormat="1" ht="14.25" customHeight="1"/>
    <row r="750" s="45" customFormat="1" ht="14.25" customHeight="1"/>
    <row r="751" s="45" customFormat="1" ht="14.25" customHeight="1"/>
    <row r="752" s="45" customFormat="1" ht="14.25" customHeight="1"/>
    <row r="753" s="45" customFormat="1" ht="14.25" customHeight="1"/>
    <row r="754" s="45" customFormat="1" ht="14.25" customHeight="1"/>
    <row r="755" s="45" customFormat="1" ht="14.25" customHeight="1"/>
    <row r="756" s="45" customFormat="1" ht="14.25" customHeight="1"/>
    <row r="757" s="45" customFormat="1" ht="14.25" customHeight="1"/>
    <row r="758" s="45" customFormat="1" ht="14.25" customHeight="1"/>
    <row r="759" s="45" customFormat="1" ht="14.25" customHeight="1"/>
    <row r="760" s="45" customFormat="1" ht="14.25" customHeight="1"/>
    <row r="761" s="45" customFormat="1" ht="14.25" customHeight="1"/>
    <row r="762" s="45" customFormat="1" ht="14.25" customHeight="1"/>
    <row r="763" s="45" customFormat="1" ht="14.25" customHeight="1"/>
    <row r="764" s="45" customFormat="1" ht="14.25" customHeight="1"/>
    <row r="765" s="45" customFormat="1" ht="14.25" customHeight="1"/>
    <row r="766" s="45" customFormat="1" ht="14.25" customHeight="1"/>
    <row r="767" s="45" customFormat="1" ht="14.25" customHeight="1"/>
    <row r="768" s="45" customFormat="1" ht="14.25" customHeight="1"/>
    <row r="769" s="45" customFormat="1" ht="14.25" customHeight="1"/>
    <row r="770" s="45" customFormat="1" ht="14.25" customHeight="1"/>
    <row r="771" s="45" customFormat="1" ht="14.25" customHeight="1"/>
    <row r="772" s="45" customFormat="1" ht="14.25" customHeight="1"/>
    <row r="773" s="45" customFormat="1" ht="14.25" customHeight="1"/>
    <row r="774" s="45" customFormat="1" ht="14.25" customHeight="1"/>
    <row r="775" s="45" customFormat="1" ht="14.25" customHeight="1"/>
    <row r="776" s="45" customFormat="1" ht="14.25" customHeight="1"/>
    <row r="777" s="45" customFormat="1" ht="14.25" customHeight="1"/>
    <row r="778" s="45" customFormat="1" ht="14.25" customHeight="1"/>
    <row r="779" s="45" customFormat="1" ht="14.25" customHeight="1"/>
    <row r="780" s="45" customFormat="1" ht="14.25" customHeight="1"/>
    <row r="781" s="45" customFormat="1" ht="14.25" customHeight="1"/>
    <row r="782" s="45" customFormat="1" ht="14.25" customHeight="1"/>
    <row r="783" s="45" customFormat="1" ht="14.25" customHeight="1"/>
    <row r="784" s="45" customFormat="1" ht="14.25" customHeight="1"/>
    <row r="785" s="45" customFormat="1" ht="14.25" customHeight="1"/>
    <row r="786" s="45" customFormat="1" ht="14.25" customHeight="1"/>
    <row r="787" s="45" customFormat="1" ht="14.25" customHeight="1"/>
    <row r="788" s="45" customFormat="1" ht="14.25" customHeight="1"/>
    <row r="789" s="45" customFormat="1" ht="14.25" customHeight="1"/>
    <row r="790" s="45" customFormat="1" ht="14.25" customHeight="1"/>
    <row r="791" s="45" customFormat="1" ht="14.25" customHeight="1"/>
    <row r="792" s="45" customFormat="1" ht="14.25" customHeight="1"/>
    <row r="793" s="45" customFormat="1" ht="14.25" customHeight="1"/>
    <row r="794" s="45" customFormat="1" ht="14.25" customHeight="1"/>
    <row r="795" s="45" customFormat="1" ht="14.25" customHeight="1"/>
    <row r="796" s="45" customFormat="1" ht="14.25" customHeight="1"/>
    <row r="797" s="45" customFormat="1" ht="14.25" customHeight="1"/>
    <row r="798" s="45" customFormat="1" ht="14.25" customHeight="1"/>
    <row r="799" s="45" customFormat="1" ht="14.25" customHeight="1"/>
    <row r="800" s="45" customFormat="1" ht="14.25" customHeight="1"/>
    <row r="801" s="45" customFormat="1" ht="14.25" customHeight="1"/>
    <row r="802" s="45" customFormat="1" ht="14.25" customHeight="1"/>
    <row r="803" s="45" customFormat="1" ht="14.25" customHeight="1"/>
    <row r="804" s="45" customFormat="1" ht="14.25" customHeight="1"/>
    <row r="805" s="45" customFormat="1" ht="14.25" customHeight="1"/>
    <row r="806" s="45" customFormat="1" ht="14.25" customHeight="1"/>
    <row r="807" s="45" customFormat="1" ht="14.25" customHeight="1"/>
    <row r="808" s="45" customFormat="1" ht="14.25" customHeight="1"/>
    <row r="809" s="45" customFormat="1" ht="14.25" customHeight="1"/>
    <row r="810" s="45" customFormat="1" ht="14.25" customHeight="1"/>
    <row r="811" s="45" customFormat="1" ht="14.25" customHeight="1"/>
    <row r="812" s="45" customFormat="1" ht="14.25" customHeight="1"/>
    <row r="813" s="45" customFormat="1" ht="14.25" customHeight="1"/>
    <row r="814" s="45" customFormat="1" ht="14.25" customHeight="1"/>
    <row r="815" s="45" customFormat="1" ht="14.25" customHeight="1"/>
    <row r="816" s="45" customFormat="1" ht="14.25" customHeight="1"/>
    <row r="817" s="45" customFormat="1" ht="14.25" customHeight="1"/>
    <row r="818" s="45" customFormat="1" ht="14.25" customHeight="1"/>
    <row r="819" s="45" customFormat="1" ht="14.25" customHeight="1"/>
    <row r="820" s="45" customFormat="1" ht="14.25" customHeight="1"/>
    <row r="821" s="45" customFormat="1" ht="14.25" customHeight="1"/>
    <row r="822" s="45" customFormat="1" ht="14.25" customHeight="1"/>
    <row r="823" s="45" customFormat="1" ht="14.25" customHeight="1"/>
    <row r="824" s="45" customFormat="1" ht="14.25" customHeight="1"/>
    <row r="825" s="45" customFormat="1" ht="14.25" customHeight="1"/>
    <row r="826" s="45" customFormat="1" ht="14.25" customHeight="1"/>
    <row r="827" s="45" customFormat="1" ht="14.25" customHeight="1"/>
    <row r="828" s="45" customFormat="1" ht="14.25" customHeight="1"/>
    <row r="829" s="45" customFormat="1" ht="14.25" customHeight="1"/>
    <row r="830" s="45" customFormat="1" ht="14.25" customHeight="1"/>
    <row r="831" s="45" customFormat="1" ht="14.25" customHeight="1"/>
    <row r="832" s="45" customFormat="1" ht="14.25" customHeight="1"/>
    <row r="833" s="45" customFormat="1" ht="14.25" customHeight="1"/>
    <row r="834" s="45" customFormat="1" ht="14.25" customHeight="1"/>
    <row r="835" s="45" customFormat="1" ht="14.25" customHeight="1"/>
    <row r="836" s="45" customFormat="1" ht="14.25" customHeight="1"/>
    <row r="837" s="45" customFormat="1" ht="14.25" customHeight="1"/>
    <row r="838" s="45" customFormat="1" ht="14.25" customHeight="1"/>
    <row r="839" s="45" customFormat="1" ht="14.25" customHeight="1"/>
    <row r="840" s="45" customFormat="1" ht="14.25" customHeight="1"/>
    <row r="841" s="45" customFormat="1" ht="14.25" customHeight="1"/>
    <row r="842" s="45" customFormat="1" ht="14.25" customHeight="1"/>
    <row r="843" s="45" customFormat="1" ht="14.25" customHeight="1"/>
    <row r="844" s="45" customFormat="1" ht="14.25" customHeight="1"/>
    <row r="845" s="45" customFormat="1" ht="14.25" customHeight="1"/>
    <row r="846" s="45" customFormat="1" ht="14.25" customHeight="1"/>
    <row r="847" s="45" customFormat="1" ht="14.25" customHeight="1"/>
    <row r="848" s="45" customFormat="1" ht="14.25" customHeight="1"/>
    <row r="849" s="45" customFormat="1" ht="14.25" customHeight="1"/>
    <row r="850" s="45" customFormat="1" ht="14.25" customHeight="1"/>
    <row r="851" s="45" customFormat="1" ht="14.25" customHeight="1"/>
    <row r="852" s="45" customFormat="1" ht="14.25" customHeight="1"/>
    <row r="853" s="45" customFormat="1" ht="14.25" customHeight="1"/>
    <row r="854" s="45" customFormat="1" ht="14.25" customHeight="1"/>
    <row r="855" s="45" customFormat="1" ht="14.25" customHeight="1"/>
    <row r="856" s="45" customFormat="1" ht="14.25" customHeight="1"/>
    <row r="857" s="45" customFormat="1" ht="14.25" customHeight="1"/>
    <row r="858" s="45" customFormat="1" ht="14.25" customHeight="1"/>
    <row r="859" s="45" customFormat="1" ht="14.25" customHeight="1"/>
    <row r="860" s="45" customFormat="1" ht="14.25" customHeight="1"/>
    <row r="861" s="45" customFormat="1" ht="14.25" customHeight="1"/>
    <row r="862" s="45" customFormat="1" ht="14.25" customHeight="1"/>
    <row r="863" s="45" customFormat="1" ht="14.25" customHeight="1"/>
    <row r="864" s="45" customFormat="1" ht="14.25" customHeight="1"/>
    <row r="865" s="45" customFormat="1" ht="14.25" customHeight="1"/>
    <row r="866" s="45" customFormat="1" ht="14.25" customHeight="1"/>
    <row r="867" s="45" customFormat="1" ht="14.25" customHeight="1"/>
    <row r="868" s="45" customFormat="1" ht="14.25" customHeight="1"/>
    <row r="869" s="45" customFormat="1" ht="14.25" customHeight="1"/>
    <row r="870" s="45" customFormat="1" ht="14.25" customHeight="1"/>
    <row r="871" s="45" customFormat="1" ht="14.25" customHeight="1"/>
    <row r="872" s="45" customFormat="1" ht="14.25" customHeight="1"/>
    <row r="873" s="45" customFormat="1" ht="14.25" customHeight="1"/>
    <row r="874" s="45" customFormat="1" ht="14.25" customHeight="1"/>
    <row r="875" s="45" customFormat="1" ht="14.25" customHeight="1"/>
    <row r="876" s="45" customFormat="1" ht="14.25" customHeight="1"/>
    <row r="877" s="45" customFormat="1" ht="14.25" customHeight="1"/>
    <row r="878" s="45" customFormat="1" ht="14.25" customHeight="1"/>
    <row r="879" s="45" customFormat="1" ht="14.25" customHeight="1"/>
    <row r="880" s="45" customFormat="1" ht="14.25" customHeight="1"/>
    <row r="881" s="45" customFormat="1" ht="14.25" customHeight="1"/>
    <row r="882" s="45" customFormat="1" ht="14.25" customHeight="1"/>
    <row r="883" s="45" customFormat="1" ht="14.25" customHeight="1"/>
    <row r="884" s="45" customFormat="1" ht="14.25" customHeight="1"/>
    <row r="885" s="45" customFormat="1" ht="14.25" customHeight="1"/>
    <row r="886" s="45" customFormat="1" ht="14.25" customHeight="1"/>
    <row r="887" s="45" customFormat="1" ht="14.25" customHeight="1"/>
    <row r="888" s="45" customFormat="1" ht="14.25" customHeight="1"/>
    <row r="889" s="45" customFormat="1" ht="14.25" customHeight="1"/>
    <row r="890" s="45" customFormat="1" ht="14.25" customHeight="1"/>
    <row r="891" s="45" customFormat="1" ht="14.25" customHeight="1"/>
    <row r="892" s="45" customFormat="1" ht="14.25" customHeight="1"/>
    <row r="893" s="45" customFormat="1" ht="14.25" customHeight="1"/>
    <row r="894" s="45" customFormat="1" ht="14.25" customHeight="1"/>
    <row r="895" s="45" customFormat="1" ht="14.25" customHeight="1"/>
    <row r="896" s="45" customFormat="1" ht="14.25" customHeight="1"/>
    <row r="897" s="45" customFormat="1" ht="14.25" customHeight="1"/>
    <row r="898" s="45" customFormat="1" ht="14.25" customHeight="1"/>
    <row r="899" s="45" customFormat="1" ht="14.25" customHeight="1"/>
    <row r="900" s="45" customFormat="1" ht="14.25" customHeight="1"/>
    <row r="901" s="45" customFormat="1" ht="14.25" customHeight="1"/>
    <row r="902" s="45" customFormat="1" ht="14.25" customHeight="1"/>
    <row r="903" s="45" customFormat="1" ht="14.25" customHeight="1"/>
    <row r="904" s="45" customFormat="1" ht="14.25" customHeight="1"/>
    <row r="905" s="45" customFormat="1" ht="14.25" customHeight="1"/>
    <row r="906" s="45" customFormat="1" ht="14.25" customHeight="1"/>
    <row r="907" s="45" customFormat="1" ht="14.25" customHeight="1"/>
    <row r="908" s="45" customFormat="1" ht="14.25" customHeight="1"/>
    <row r="909" s="45" customFormat="1" ht="14.25" customHeight="1"/>
    <row r="910" s="45" customFormat="1" ht="14.25" customHeight="1"/>
    <row r="911" s="45" customFormat="1" ht="14.25" customHeight="1"/>
    <row r="912" s="45" customFormat="1" ht="14.25" customHeight="1"/>
    <row r="913" s="45" customFormat="1" ht="14.25" customHeight="1"/>
    <row r="914" s="45" customFormat="1" ht="14.25" customHeight="1"/>
    <row r="915" s="45" customFormat="1" ht="14.25" customHeight="1"/>
    <row r="916" s="45" customFormat="1" ht="14.25" customHeight="1"/>
    <row r="917" s="45" customFormat="1" ht="14.25" customHeight="1"/>
    <row r="918" s="45" customFormat="1" ht="14.25" customHeight="1"/>
    <row r="919" s="45" customFormat="1" ht="14.25" customHeight="1"/>
    <row r="920" s="45" customFormat="1" ht="14.25" customHeight="1"/>
    <row r="921" s="45" customFormat="1" ht="14.25" customHeight="1"/>
    <row r="922" s="45" customFormat="1" ht="14.25" customHeight="1"/>
    <row r="923" s="45" customFormat="1" ht="14.25" customHeight="1"/>
    <row r="924" s="45" customFormat="1" ht="14.25" customHeight="1"/>
    <row r="925" s="45" customFormat="1" ht="14.25" customHeight="1"/>
    <row r="926" s="45" customFormat="1" ht="14.25" customHeight="1"/>
    <row r="927" s="45" customFormat="1" ht="14.25" customHeight="1"/>
    <row r="928" s="45" customFormat="1" ht="14.25" customHeight="1"/>
    <row r="929" s="45" customFormat="1" ht="14.25" customHeight="1"/>
    <row r="930" s="45" customFormat="1" ht="14.25" customHeight="1"/>
    <row r="931" s="45" customFormat="1" ht="14.25" customHeight="1"/>
    <row r="932" s="45" customFormat="1" ht="14.25" customHeight="1"/>
    <row r="933" s="45" customFormat="1" ht="14.25" customHeight="1"/>
    <row r="934" s="45" customFormat="1" ht="14.25" customHeight="1"/>
    <row r="935" s="45" customFormat="1" ht="14.25" customHeight="1"/>
    <row r="936" s="45" customFormat="1" ht="14.25" customHeight="1"/>
    <row r="937" s="45" customFormat="1" ht="14.25" customHeight="1"/>
    <row r="938" s="45" customFormat="1" ht="14.25" customHeight="1"/>
    <row r="939" s="45" customFormat="1" ht="14.25" customHeight="1"/>
    <row r="940" s="45" customFormat="1" ht="14.25" customHeight="1"/>
    <row r="941" s="45" customFormat="1" ht="14.25" customHeight="1"/>
    <row r="942" s="45" customFormat="1" ht="14.25" customHeight="1"/>
    <row r="943" s="45" customFormat="1" ht="14.25" customHeight="1"/>
    <row r="944" s="45" customFormat="1" ht="14.25" customHeight="1"/>
    <row r="945" s="45" customFormat="1" ht="14.25" customHeight="1"/>
    <row r="946" s="45" customFormat="1" ht="14.25" customHeight="1"/>
    <row r="947" s="45" customFormat="1" ht="14.25" customHeight="1"/>
    <row r="948" s="45" customFormat="1" ht="14.25" customHeight="1"/>
    <row r="949" s="45" customFormat="1" ht="14.25" customHeight="1"/>
    <row r="950" s="45" customFormat="1" ht="14.25" customHeight="1"/>
    <row r="951" s="45" customFormat="1" ht="14.25" customHeight="1"/>
    <row r="952" s="45" customFormat="1" ht="14.25" customHeight="1"/>
    <row r="953" s="45" customFormat="1" ht="14.25" customHeight="1"/>
    <row r="954" s="45" customFormat="1" ht="14.25" customHeight="1"/>
    <row r="955" s="45" customFormat="1" ht="14.25" customHeight="1"/>
    <row r="956" s="45" customFormat="1" ht="14.25" customHeight="1"/>
    <row r="957" s="45" customFormat="1" ht="14.25" customHeight="1"/>
    <row r="958" s="45" customFormat="1" ht="14.25" customHeight="1"/>
    <row r="959" s="45" customFormat="1" ht="14.25" customHeight="1"/>
    <row r="960" s="45" customFormat="1" ht="14.25" customHeight="1"/>
    <row r="961" s="45" customFormat="1" ht="14.25" customHeight="1"/>
    <row r="962" s="45" customFormat="1" ht="14.25" customHeight="1"/>
    <row r="963" s="45" customFormat="1" ht="14.25" customHeight="1"/>
    <row r="964" s="45" customFormat="1" ht="14.25" customHeight="1"/>
    <row r="965" s="45" customFormat="1" ht="14.25" customHeight="1"/>
    <row r="966" s="45" customFormat="1" ht="14.25" customHeight="1"/>
    <row r="967" s="45" customFormat="1" ht="14.25" customHeight="1"/>
    <row r="968" s="45" customFormat="1" ht="14.25" customHeight="1"/>
    <row r="969" s="45" customFormat="1" ht="14.25" customHeight="1"/>
    <row r="970" s="45" customFormat="1" ht="14.25" customHeight="1"/>
    <row r="971" s="45" customFormat="1" ht="14.25" customHeight="1"/>
    <row r="972" s="45" customFormat="1" ht="14.25" customHeight="1"/>
    <row r="973" s="45" customFormat="1" ht="14.25" customHeight="1"/>
    <row r="974" s="45" customFormat="1" ht="14.25" customHeight="1"/>
    <row r="975" s="45" customFormat="1" ht="14.25" customHeight="1"/>
    <row r="976" s="45" customFormat="1" ht="14.25" customHeight="1"/>
    <row r="977" s="45" customFormat="1" ht="14.25" customHeight="1"/>
    <row r="978" s="45" customFormat="1" ht="14.25" customHeight="1"/>
    <row r="979" s="45" customFormat="1" ht="14.25" customHeight="1"/>
    <row r="980" s="45" customFormat="1" ht="14.25" customHeight="1"/>
    <row r="981" s="45" customFormat="1" ht="14.25" customHeight="1"/>
    <row r="982" s="45" customFormat="1" ht="14.25" customHeight="1"/>
    <row r="983" s="45" customFormat="1" ht="14.25" customHeight="1"/>
    <row r="984" s="45" customFormat="1" ht="14.25" customHeight="1"/>
    <row r="985" s="45" customFormat="1" ht="14.25" customHeight="1"/>
    <row r="986" s="45" customFormat="1" ht="14.25" customHeight="1"/>
    <row r="987" s="45" customFormat="1" ht="14.25" customHeight="1"/>
    <row r="988" s="45" customFormat="1" ht="14.25" customHeight="1"/>
    <row r="989" s="45" customFormat="1" ht="14.25" customHeight="1"/>
    <row r="990" s="45" customFormat="1" ht="14.25" customHeight="1"/>
    <row r="991" s="45" customFormat="1" ht="14.25" customHeight="1"/>
    <row r="992" s="45" customFormat="1" ht="14.25" customHeight="1"/>
    <row r="993" s="45" customFormat="1" ht="14.25" customHeight="1"/>
    <row r="994" s="45" customFormat="1" ht="14.25" customHeight="1"/>
    <row r="995" s="45" customFormat="1" ht="14.25" customHeight="1"/>
    <row r="996" s="45" customFormat="1" ht="14.25" customHeight="1"/>
    <row r="997" s="45" customFormat="1" ht="14.25" customHeight="1"/>
    <row r="998" s="45" customFormat="1" ht="14.25" customHeight="1"/>
    <row r="999" s="45" customFormat="1" ht="14.25" customHeight="1"/>
    <row r="1000" s="45" customFormat="1" ht="14.25" customHeight="1"/>
    <row r="1001" s="45" customFormat="1" ht="14.25" customHeight="1"/>
    <row r="1002" s="45" customFormat="1" ht="14.25" customHeight="1"/>
  </sheetData>
  <mergeCells count="1">
    <mergeCell ref="W2:Z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42BA-E0B1-4D50-810A-9C1DA35CB455}">
  <dimension ref="A1:I1000"/>
  <sheetViews>
    <sheetView workbookViewId="0">
      <selection activeCell="D7" sqref="D7"/>
    </sheetView>
  </sheetViews>
  <sheetFormatPr defaultColWidth="14.44140625" defaultRowHeight="15" customHeight="1"/>
  <cols>
    <col min="1" max="7" width="19.109375" style="20" customWidth="1"/>
    <col min="8" max="9" width="13.6640625" style="20" customWidth="1"/>
    <col min="10" max="26" width="8.6640625" style="20" customWidth="1"/>
    <col min="27" max="16384" width="14.44140625" style="20"/>
  </cols>
  <sheetData>
    <row r="1" spans="1:9" ht="14.25" customHeight="1" thickBot="1">
      <c r="A1" s="21" t="s">
        <v>632</v>
      </c>
      <c r="B1" s="21" t="s">
        <v>633</v>
      </c>
      <c r="C1" s="22"/>
      <c r="D1" s="23" t="s">
        <v>632</v>
      </c>
      <c r="E1" s="24" t="s">
        <v>633</v>
      </c>
      <c r="F1" s="25" t="s">
        <v>634</v>
      </c>
      <c r="G1" s="26" t="s">
        <v>635</v>
      </c>
      <c r="I1" s="27" t="s">
        <v>636</v>
      </c>
    </row>
    <row r="2" spans="1:9" ht="54" customHeight="1">
      <c r="A2" s="28" t="s">
        <v>637</v>
      </c>
      <c r="B2" s="29" t="s">
        <v>638</v>
      </c>
      <c r="D2" s="30" t="s">
        <v>639</v>
      </c>
      <c r="E2" s="31" t="s">
        <v>640</v>
      </c>
      <c r="F2" s="32">
        <v>2</v>
      </c>
      <c r="G2" s="33" t="s">
        <v>641</v>
      </c>
      <c r="I2" s="27" t="s">
        <v>642</v>
      </c>
    </row>
    <row r="3" spans="1:9" ht="66" customHeight="1">
      <c r="A3" s="28" t="s">
        <v>643</v>
      </c>
      <c r="B3" s="29" t="s">
        <v>644</v>
      </c>
      <c r="D3" s="34" t="s">
        <v>645</v>
      </c>
      <c r="E3" s="29" t="s">
        <v>646</v>
      </c>
      <c r="F3" s="28">
        <v>12</v>
      </c>
      <c r="G3" s="35" t="s">
        <v>647</v>
      </c>
      <c r="I3" s="27" t="s">
        <v>648</v>
      </c>
    </row>
    <row r="4" spans="1:9" ht="45" customHeight="1" thickBot="1">
      <c r="A4" s="28" t="s">
        <v>649</v>
      </c>
      <c r="B4" s="29" t="s">
        <v>650</v>
      </c>
      <c r="D4" s="36" t="s">
        <v>651</v>
      </c>
      <c r="E4" s="37" t="s">
        <v>652</v>
      </c>
      <c r="F4" s="38">
        <v>71</v>
      </c>
      <c r="G4" s="39" t="s">
        <v>653</v>
      </c>
    </row>
    <row r="5" spans="1:9" ht="34.5" customHeight="1">
      <c r="A5" s="28" t="s">
        <v>645</v>
      </c>
      <c r="B5" s="29" t="s">
        <v>654</v>
      </c>
    </row>
    <row r="6" spans="1:9" ht="34.5" customHeight="1">
      <c r="A6" s="28" t="s">
        <v>639</v>
      </c>
      <c r="B6" s="29" t="s">
        <v>655</v>
      </c>
    </row>
    <row r="7" spans="1:9" ht="37.5" customHeight="1">
      <c r="A7" s="28" t="s">
        <v>651</v>
      </c>
      <c r="B7" s="29" t="s">
        <v>656</v>
      </c>
    </row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C3B8C-0A88-4322-ABBE-AA64AF989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Dates</vt:lpstr>
      <vt:lpstr>DATE&amp;TIME</vt:lpstr>
      <vt:lpstr>Text Function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gawade</dc:creator>
  <cp:lastModifiedBy>shubham gawade</cp:lastModifiedBy>
  <dcterms:created xsi:type="dcterms:W3CDTF">2025-11-29T06:14:38Z</dcterms:created>
  <dcterms:modified xsi:type="dcterms:W3CDTF">2025-11-29T10:33:25Z</dcterms:modified>
</cp:coreProperties>
</file>