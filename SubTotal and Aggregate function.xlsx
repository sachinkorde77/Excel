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ef1a70d1ca2329/Desktop/Sachin/"/>
    </mc:Choice>
  </mc:AlternateContent>
  <xr:revisionPtr revIDLastSave="0" documentId="8_{A7723E8C-1E1E-444E-8E60-F62002011D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nual Way" sheetId="1" r:id="rId1"/>
    <sheet name="Subtotal" sheetId="2" r:id="rId2"/>
    <sheet name="Multi Level Subtotal" sheetId="3" r:id="rId3"/>
    <sheet name="Data from Subtotal" sheetId="4" r:id="rId4"/>
  </sheets>
  <calcPr calcId="191029"/>
  <extLst>
    <ext uri="GoogleSheetsCustomDataVersion2">
      <go:sheetsCustomData xmlns:go="http://customooxmlschemas.google.com/" r:id="rId7" roundtripDataChecksum="B/lhuWxfKZeKz7L8RVsa2/+0EWaJ/HfhHzf3cYf0EMs="/>
    </ext>
  </extLst>
</workbook>
</file>

<file path=xl/calcChain.xml><?xml version="1.0" encoding="utf-8"?>
<calcChain xmlns="http://schemas.openxmlformats.org/spreadsheetml/2006/main">
  <c r="J14" i="1" l="1"/>
  <c r="I14" i="1"/>
  <c r="H14" i="1"/>
  <c r="D14" i="1"/>
  <c r="C14" i="1"/>
  <c r="B14" i="1"/>
  <c r="J11" i="1"/>
  <c r="I11" i="1"/>
  <c r="H11" i="1"/>
  <c r="D11" i="1"/>
  <c r="C11" i="1"/>
  <c r="B11" i="1"/>
  <c r="J6" i="1"/>
  <c r="I6" i="1"/>
  <c r="H6" i="1"/>
  <c r="D6" i="1"/>
  <c r="D15" i="1" s="1"/>
  <c r="C6" i="1"/>
  <c r="B6" i="1"/>
  <c r="B15" i="1" l="1"/>
  <c r="I15" i="1"/>
  <c r="H15" i="1"/>
  <c r="B16" i="1"/>
  <c r="I16" i="1"/>
  <c r="C16" i="1"/>
  <c r="J16" i="1"/>
  <c r="D16" i="1"/>
  <c r="C15" i="1"/>
  <c r="J15" i="1"/>
  <c r="H16" i="1"/>
  <c r="D13" i="2"/>
  <c r="C13" i="2"/>
  <c r="B13" i="2"/>
  <c r="D10" i="2"/>
  <c r="C10" i="2"/>
  <c r="B10" i="2"/>
  <c r="D5" i="2"/>
  <c r="D14" i="2" s="1"/>
  <c r="C5" i="2"/>
  <c r="C14" i="2" s="1"/>
  <c r="B5" i="2"/>
  <c r="B14" i="2" s="1"/>
  <c r="E60" i="3"/>
  <c r="D60" i="3"/>
  <c r="E53" i="3"/>
  <c r="D53" i="3"/>
  <c r="E46" i="3"/>
  <c r="D46" i="3"/>
  <c r="E38" i="3"/>
  <c r="D38" i="3"/>
  <c r="E34" i="3"/>
  <c r="D34" i="3"/>
  <c r="E30" i="3"/>
  <c r="D30" i="3"/>
  <c r="D39" i="3" s="1"/>
  <c r="E25" i="3"/>
  <c r="D25" i="3"/>
  <c r="E18" i="3"/>
  <c r="D18" i="3"/>
  <c r="E8" i="3"/>
  <c r="E26" i="3" s="1"/>
  <c r="D8" i="3"/>
  <c r="F59" i="3"/>
  <c r="F58" i="3"/>
  <c r="F57" i="3"/>
  <c r="F56" i="3"/>
  <c r="F55" i="3"/>
  <c r="F54" i="3"/>
  <c r="F52" i="3"/>
  <c r="F51" i="3"/>
  <c r="F50" i="3"/>
  <c r="F49" i="3"/>
  <c r="F48" i="3"/>
  <c r="F47" i="3"/>
  <c r="F45" i="3"/>
  <c r="F44" i="3"/>
  <c r="F43" i="3"/>
  <c r="F42" i="3"/>
  <c r="F41" i="3"/>
  <c r="F40" i="3"/>
  <c r="F37" i="3"/>
  <c r="F36" i="3"/>
  <c r="F35" i="3"/>
  <c r="F33" i="3"/>
  <c r="F32" i="3"/>
  <c r="F31" i="3"/>
  <c r="F29" i="3"/>
  <c r="F28" i="3"/>
  <c r="F27" i="3"/>
  <c r="F24" i="3"/>
  <c r="F23" i="3"/>
  <c r="F22" i="3"/>
  <c r="F21" i="3"/>
  <c r="F20" i="3"/>
  <c r="F19" i="3"/>
  <c r="F17" i="3"/>
  <c r="F16" i="3"/>
  <c r="F15" i="3"/>
  <c r="F14" i="3"/>
  <c r="F13" i="3"/>
  <c r="F12" i="3"/>
  <c r="F11" i="3"/>
  <c r="F10" i="3"/>
  <c r="F9" i="3"/>
  <c r="F7" i="3"/>
  <c r="F6" i="3"/>
  <c r="F5" i="3"/>
  <c r="F4" i="3"/>
  <c r="F3" i="3"/>
  <c r="F2" i="3"/>
  <c r="D61" i="3" l="1"/>
  <c r="F38" i="3"/>
  <c r="F60" i="3"/>
  <c r="E39" i="3"/>
  <c r="E62" i="3" s="1"/>
  <c r="E61" i="3"/>
  <c r="F34" i="3"/>
  <c r="D26" i="3"/>
  <c r="D62" i="3" s="1"/>
  <c r="F8" i="3"/>
  <c r="F25" i="3"/>
  <c r="F53" i="3"/>
  <c r="F18" i="3"/>
  <c r="F46" i="3"/>
  <c r="F30" i="3"/>
  <c r="F39" i="3" l="1"/>
  <c r="F61" i="3"/>
  <c r="F26" i="3"/>
  <c r="F62" i="3" s="1"/>
</calcChain>
</file>

<file path=xl/sharedStrings.xml><?xml version="1.0" encoding="utf-8"?>
<sst xmlns="http://schemas.openxmlformats.org/spreadsheetml/2006/main" count="249" uniqueCount="39">
  <si>
    <t>Budget</t>
  </si>
  <si>
    <t>Spent</t>
  </si>
  <si>
    <t>Remaining</t>
  </si>
  <si>
    <t>Sales Person-01</t>
  </si>
  <si>
    <t>Subtotal A</t>
  </si>
  <si>
    <t>Sales Person-02</t>
  </si>
  <si>
    <t>Subtotal B</t>
  </si>
  <si>
    <t>Sales Person-03</t>
  </si>
  <si>
    <t>Subtotal C</t>
  </si>
  <si>
    <t>Total</t>
  </si>
  <si>
    <t>Customer</t>
  </si>
  <si>
    <t>Sales Person</t>
  </si>
  <si>
    <t>Product</t>
  </si>
  <si>
    <t>Price</t>
  </si>
  <si>
    <t>Units</t>
  </si>
  <si>
    <t>ABC</t>
  </si>
  <si>
    <t>Oil</t>
  </si>
  <si>
    <t>DEF</t>
  </si>
  <si>
    <t>Choclate</t>
  </si>
  <si>
    <t>GHI</t>
  </si>
  <si>
    <t>MNO</t>
  </si>
  <si>
    <t>Detergent</t>
  </si>
  <si>
    <t>PQR</t>
  </si>
  <si>
    <t>JKL</t>
  </si>
  <si>
    <t>Sales Person-2</t>
  </si>
  <si>
    <t>Sales Person-01 Total</t>
  </si>
  <si>
    <t>Sales Person-2 Total</t>
  </si>
  <si>
    <t>Sales Person-03 Total</t>
  </si>
  <si>
    <t>Grand Total</t>
  </si>
  <si>
    <t>Oil Total</t>
  </si>
  <si>
    <t>Choclate Total</t>
  </si>
  <si>
    <t>Detergent Total</t>
  </si>
  <si>
    <t>Sales Person-02 Total</t>
  </si>
  <si>
    <t xml:space="preserve">Manual Way </t>
  </si>
  <si>
    <t>Subtotal</t>
  </si>
  <si>
    <t>Aggregate functions</t>
  </si>
  <si>
    <t>SUM</t>
  </si>
  <si>
    <t>SUBTOTAL</t>
  </si>
  <si>
    <t>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</si>
</sst>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2987040" cy="12344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EFFAFD-24CC-4740-BEAD-A32A164C5255}"/>
            </a:ext>
          </a:extLst>
        </xdr:cNvPr>
        <xdr:cNvSpPr txBox="1"/>
      </xdr:nvSpPr>
      <xdr:spPr>
        <a:xfrm>
          <a:off x="5440680" y="525780"/>
          <a:ext cx="2987040" cy="12344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Select  any cell PRESS</a:t>
          </a:r>
          <a:r>
            <a:rPr lang="en-IN" sz="1100" baseline="0"/>
            <a:t> ALT+A+B</a:t>
          </a:r>
        </a:p>
        <a:p>
          <a:r>
            <a:rPr lang="en-IN" sz="1100" baseline="0"/>
            <a:t>Check level,function and select which tables to calculate</a:t>
          </a:r>
        </a:p>
        <a:p>
          <a:endParaRPr lang="en-IN" sz="1100" baseline="0"/>
        </a:p>
        <a:p>
          <a:r>
            <a:rPr lang="en-IN" sz="1100" baseline="0"/>
            <a:t>The order of column should be in ASC order on which we are calculation sub total</a:t>
          </a:r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2987040" cy="20116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BF64DF-C7D3-41AB-A30E-4765C0CF18FC}"/>
            </a:ext>
          </a:extLst>
        </xdr:cNvPr>
        <xdr:cNvSpPr txBox="1"/>
      </xdr:nvSpPr>
      <xdr:spPr>
        <a:xfrm>
          <a:off x="7437120" y="525780"/>
          <a:ext cx="2987040" cy="20116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Select  any cell PRESS</a:t>
          </a:r>
          <a:r>
            <a:rPr lang="en-IN" sz="1100" baseline="0"/>
            <a:t> ALT+A+B</a:t>
          </a:r>
        </a:p>
        <a:p>
          <a:r>
            <a:rPr lang="en-IN" sz="1100" baseline="0"/>
            <a:t>Check level,function and select which tables to calculate</a:t>
          </a:r>
        </a:p>
        <a:p>
          <a:endParaRPr lang="en-IN" sz="1100" baseline="0"/>
        </a:p>
        <a:p>
          <a:r>
            <a:rPr lang="en-IN" sz="1100" baseline="0"/>
            <a:t>The order of column should be in ASC order on which we are calculation sub total</a:t>
          </a:r>
        </a:p>
        <a:p>
          <a:endParaRPr lang="en-IN" sz="1100" baseline="0"/>
        </a:p>
        <a:p>
          <a:r>
            <a:rPr lang="en-IN" sz="1100" baseline="0"/>
            <a:t>ALT+D+S = Multiple SORT</a:t>
          </a:r>
        </a:p>
        <a:p>
          <a:endParaRPr lang="en-IN" sz="1100" baseline="0"/>
        </a:p>
        <a:p>
          <a:r>
            <a:rPr lang="en-IN" sz="1100" baseline="0"/>
            <a:t>For </a:t>
          </a:r>
          <a:r>
            <a:rPr lang="en-IN" sz="1100" baseline="0">
              <a:solidFill>
                <a:srgbClr val="FF0000"/>
              </a:solidFill>
            </a:rPr>
            <a:t>second level subtotals </a:t>
          </a:r>
          <a:r>
            <a:rPr lang="en-IN" sz="1100" baseline="0"/>
            <a:t>ensure these </a:t>
          </a:r>
          <a:r>
            <a:rPr lang="en-IN" sz="1100" baseline="0">
              <a:solidFill>
                <a:srgbClr val="FF0000"/>
              </a:solidFill>
            </a:rPr>
            <a:t>checkbox </a:t>
          </a:r>
          <a:r>
            <a:rPr lang="en-IN" sz="1100" baseline="0"/>
            <a:t>reamin </a:t>
          </a:r>
          <a:r>
            <a:rPr lang="en-IN" sz="1100" baseline="0">
              <a:solidFill>
                <a:srgbClr val="FF0000"/>
              </a:solidFill>
            </a:rPr>
            <a:t>Uncheked</a:t>
          </a:r>
        </a:p>
        <a:p>
          <a:endParaRPr lang="en-IN" sz="1100" baseline="0"/>
        </a:p>
        <a:p>
          <a:endParaRPr lang="en-IN" sz="1100"/>
        </a:p>
      </xdr:txBody>
    </xdr:sp>
    <xdr:clientData/>
  </xdr:oneCellAnchor>
  <xdr:twoCellAnchor editAs="oneCell">
    <xdr:from>
      <xdr:col>10</xdr:col>
      <xdr:colOff>563880</xdr:colOff>
      <xdr:row>15</xdr:row>
      <xdr:rowOff>160020</xdr:rowOff>
    </xdr:from>
    <xdr:to>
      <xdr:col>15</xdr:col>
      <xdr:colOff>487931</xdr:colOff>
      <xdr:row>21</xdr:row>
      <xdr:rowOff>7698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6B03AE-B87A-95C6-6421-F91DB0BE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6640" y="2788920"/>
          <a:ext cx="2895851" cy="899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60960</xdr:colOff>
      <xdr:row>9</xdr:row>
      <xdr:rowOff>144780</xdr:rowOff>
    </xdr:from>
    <xdr:ext cx="3093720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0ECDA0-1B18-3580-79CA-CEECA7223FD0}"/>
            </a:ext>
          </a:extLst>
        </xdr:cNvPr>
        <xdr:cNvSpPr txBox="1"/>
      </xdr:nvSpPr>
      <xdr:spPr>
        <a:xfrm>
          <a:off x="6766560" y="1790700"/>
          <a:ext cx="3093720" cy="78124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To</a:t>
          </a:r>
          <a:r>
            <a:rPr lang="en-IN" sz="1100" baseline="0"/>
            <a:t> copy data from each Layer from last subtotal sheet </a:t>
          </a:r>
        </a:p>
        <a:p>
          <a:r>
            <a:rPr lang="en-IN" sz="1100" baseline="0"/>
            <a:t>Press ALT+: to fix data </a:t>
          </a:r>
        </a:p>
        <a:p>
          <a:r>
            <a:rPr lang="en-IN" sz="1100" baseline="0"/>
            <a:t>then COPY PASTE </a:t>
          </a:r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J20" sqref="J20"/>
    </sheetView>
  </sheetViews>
  <sheetFormatPr defaultColWidth="14.44140625" defaultRowHeight="15" customHeight="1" x14ac:dyDescent="0.3"/>
  <cols>
    <col min="1" max="1" width="14.6640625" customWidth="1"/>
    <col min="2" max="2" width="11.6640625" bestFit="1" customWidth="1"/>
    <col min="3" max="3" width="6" bestFit="1" customWidth="1"/>
    <col min="4" max="4" width="9.88671875" customWidth="1"/>
    <col min="5" max="5" width="8.6640625" customWidth="1"/>
    <col min="6" max="6" width="11" bestFit="1" customWidth="1"/>
    <col min="7" max="7" width="13.88671875" customWidth="1"/>
    <col min="8" max="8" width="10.109375" customWidth="1"/>
    <col min="9" max="9" width="9.109375" customWidth="1"/>
    <col min="10" max="10" width="11" customWidth="1"/>
    <col min="11" max="26" width="8.6640625" customWidth="1"/>
  </cols>
  <sheetData>
    <row r="1" spans="1:11" ht="14.25" customHeight="1" x14ac:dyDescent="0.3">
      <c r="B1" t="s">
        <v>33</v>
      </c>
      <c r="I1" t="s">
        <v>34</v>
      </c>
    </row>
    <row r="2" spans="1:11" ht="14.25" customHeight="1" x14ac:dyDescent="0.3">
      <c r="B2" s="1" t="s">
        <v>0</v>
      </c>
      <c r="C2" s="1" t="s">
        <v>1</v>
      </c>
      <c r="D2" s="1" t="s">
        <v>2</v>
      </c>
      <c r="H2" s="1" t="s">
        <v>0</v>
      </c>
      <c r="I2" s="1" t="s">
        <v>1</v>
      </c>
      <c r="J2" s="1" t="s">
        <v>2</v>
      </c>
    </row>
    <row r="3" spans="1:11" ht="14.25" customHeight="1" x14ac:dyDescent="0.3">
      <c r="A3" s="2" t="s">
        <v>3</v>
      </c>
      <c r="B3" s="2">
        <v>8124</v>
      </c>
      <c r="C3" s="2">
        <v>9798</v>
      </c>
      <c r="D3" s="2">
        <v>8213</v>
      </c>
      <c r="G3" s="2" t="s">
        <v>3</v>
      </c>
      <c r="H3" s="2">
        <v>8124</v>
      </c>
      <c r="I3" s="2">
        <v>9798</v>
      </c>
      <c r="J3" s="2">
        <v>8213</v>
      </c>
    </row>
    <row r="4" spans="1:11" ht="14.25" customHeight="1" x14ac:dyDescent="0.3">
      <c r="A4" s="2" t="s">
        <v>3</v>
      </c>
      <c r="B4" s="2">
        <v>9399</v>
      </c>
      <c r="C4" s="2">
        <v>9832</v>
      </c>
      <c r="D4" s="2">
        <v>7993</v>
      </c>
      <c r="G4" s="2" t="s">
        <v>3</v>
      </c>
      <c r="H4" s="2">
        <v>9399</v>
      </c>
      <c r="I4" s="2">
        <v>9832</v>
      </c>
      <c r="J4" s="2">
        <v>7993</v>
      </c>
    </row>
    <row r="5" spans="1:11" ht="14.25" customHeight="1" x14ac:dyDescent="0.3">
      <c r="A5" s="2" t="s">
        <v>3</v>
      </c>
      <c r="B5" s="2">
        <v>9152</v>
      </c>
      <c r="C5" s="2">
        <v>8223</v>
      </c>
      <c r="D5" s="2">
        <v>7816</v>
      </c>
      <c r="G5" s="2" t="s">
        <v>3</v>
      </c>
      <c r="H5" s="2">
        <v>9152</v>
      </c>
      <c r="I5" s="2">
        <v>8223</v>
      </c>
      <c r="J5" s="2">
        <v>7816</v>
      </c>
    </row>
    <row r="6" spans="1:11" ht="14.25" customHeight="1" x14ac:dyDescent="0.3">
      <c r="A6" s="3" t="s">
        <v>4</v>
      </c>
      <c r="B6" s="3">
        <f>SUM(B3:B5)</f>
        <v>26675</v>
      </c>
      <c r="C6" s="3">
        <f t="shared" ref="C6:D6" si="0">SUM(C3:C5)</f>
        <v>27853</v>
      </c>
      <c r="D6" s="3">
        <f t="shared" si="0"/>
        <v>24022</v>
      </c>
      <c r="G6" s="3" t="s">
        <v>4</v>
      </c>
      <c r="H6" s="3">
        <f>SUBTOTAL(9,H3:H5)</f>
        <v>26675</v>
      </c>
      <c r="I6" s="3">
        <f t="shared" ref="I6:J6" si="1">SUBTOTAL(9,I3:I5)</f>
        <v>27853</v>
      </c>
      <c r="J6" s="3">
        <f t="shared" si="1"/>
        <v>24022</v>
      </c>
    </row>
    <row r="7" spans="1:11" ht="14.25" customHeight="1" x14ac:dyDescent="0.3">
      <c r="A7" s="2" t="s">
        <v>5</v>
      </c>
      <c r="B7" s="2">
        <v>7991</v>
      </c>
      <c r="C7" s="2">
        <v>6923</v>
      </c>
      <c r="D7" s="2">
        <v>7882</v>
      </c>
      <c r="G7" s="2" t="s">
        <v>5</v>
      </c>
      <c r="H7" s="2">
        <v>7991</v>
      </c>
      <c r="I7" s="2">
        <v>6923</v>
      </c>
      <c r="J7" s="2">
        <v>7882</v>
      </c>
    </row>
    <row r="8" spans="1:11" ht="14.25" customHeight="1" x14ac:dyDescent="0.3">
      <c r="A8" s="2" t="s">
        <v>5</v>
      </c>
      <c r="B8" s="2">
        <v>7684</v>
      </c>
      <c r="C8" s="2">
        <v>6500</v>
      </c>
      <c r="D8" s="2">
        <v>7086</v>
      </c>
      <c r="G8" s="2" t="s">
        <v>5</v>
      </c>
      <c r="H8" s="2">
        <v>7684</v>
      </c>
      <c r="I8" s="2">
        <v>6500</v>
      </c>
      <c r="J8" s="2">
        <v>7086</v>
      </c>
    </row>
    <row r="9" spans="1:11" ht="14.25" customHeight="1" x14ac:dyDescent="0.3">
      <c r="A9" s="2" t="s">
        <v>5</v>
      </c>
      <c r="B9" s="2">
        <v>6694</v>
      </c>
      <c r="C9" s="2">
        <v>7660</v>
      </c>
      <c r="D9" s="2">
        <v>7537</v>
      </c>
      <c r="G9" s="2" t="s">
        <v>5</v>
      </c>
      <c r="H9" s="2">
        <v>6694</v>
      </c>
      <c r="I9" s="2">
        <v>7660</v>
      </c>
      <c r="J9" s="2">
        <v>7537</v>
      </c>
    </row>
    <row r="10" spans="1:11" ht="14.25" customHeight="1" x14ac:dyDescent="0.3">
      <c r="A10" s="2" t="s">
        <v>5</v>
      </c>
      <c r="B10" s="2">
        <v>6900</v>
      </c>
      <c r="C10" s="2">
        <v>7897</v>
      </c>
      <c r="D10" s="2">
        <v>6371</v>
      </c>
      <c r="G10" s="2" t="s">
        <v>5</v>
      </c>
      <c r="H10" s="2">
        <v>6900</v>
      </c>
      <c r="I10" s="2">
        <v>7897</v>
      </c>
      <c r="J10" s="2">
        <v>6371</v>
      </c>
    </row>
    <row r="11" spans="1:11" ht="14.25" customHeight="1" x14ac:dyDescent="0.3">
      <c r="A11" s="3" t="s">
        <v>6</v>
      </c>
      <c r="B11" s="3">
        <f>SUM(B7:B10)</f>
        <v>29269</v>
      </c>
      <c r="C11" s="3">
        <f t="shared" ref="C11:D11" si="2">SUM(C7:C10)</f>
        <v>28980</v>
      </c>
      <c r="D11" s="3">
        <f t="shared" si="2"/>
        <v>28876</v>
      </c>
      <c r="G11" s="3" t="s">
        <v>6</v>
      </c>
      <c r="H11" s="3">
        <f>SUBTOTAL(9,H7:H10)</f>
        <v>29269</v>
      </c>
      <c r="I11" s="3">
        <f t="shared" ref="I11:J11" si="3">SUBTOTAL(9,I7:I10)</f>
        <v>28980</v>
      </c>
      <c r="J11" s="3">
        <f t="shared" si="3"/>
        <v>28876</v>
      </c>
    </row>
    <row r="12" spans="1:11" ht="14.25" customHeight="1" x14ac:dyDescent="0.3">
      <c r="A12" s="2" t="s">
        <v>7</v>
      </c>
      <c r="B12" s="2">
        <v>6286</v>
      </c>
      <c r="C12" s="2">
        <v>5997</v>
      </c>
      <c r="D12" s="2">
        <v>5209</v>
      </c>
      <c r="G12" s="2" t="s">
        <v>7</v>
      </c>
      <c r="H12" s="2">
        <v>6286</v>
      </c>
      <c r="I12" s="2">
        <v>5997</v>
      </c>
      <c r="J12" s="2">
        <v>5209</v>
      </c>
    </row>
    <row r="13" spans="1:11" ht="14.25" customHeight="1" x14ac:dyDescent="0.3">
      <c r="A13" s="2" t="s">
        <v>7</v>
      </c>
      <c r="B13" s="2">
        <v>6530</v>
      </c>
      <c r="C13" s="2">
        <v>5360</v>
      </c>
      <c r="D13" s="2">
        <v>5102</v>
      </c>
      <c r="G13" s="2" t="s">
        <v>7</v>
      </c>
      <c r="H13" s="2">
        <v>6530</v>
      </c>
      <c r="I13" s="2">
        <v>5360</v>
      </c>
      <c r="J13" s="2">
        <v>5102</v>
      </c>
    </row>
    <row r="14" spans="1:11" ht="14.25" customHeight="1" x14ac:dyDescent="0.3">
      <c r="A14" s="3" t="s">
        <v>8</v>
      </c>
      <c r="B14" s="3">
        <f>SUM(B12:B13)</f>
        <v>12816</v>
      </c>
      <c r="C14" s="3">
        <f t="shared" ref="C14:D14" si="4">SUM(C12:C13)</f>
        <v>11357</v>
      </c>
      <c r="D14" s="3">
        <f t="shared" si="4"/>
        <v>10311</v>
      </c>
      <c r="E14" s="1"/>
      <c r="G14" s="3" t="s">
        <v>8</v>
      </c>
      <c r="H14" s="3">
        <f>SUBTOTAL(9,H12:H13)</f>
        <v>12816</v>
      </c>
      <c r="I14" s="3">
        <f t="shared" ref="I14:J14" si="5">SUBTOTAL(9,I12:I13)</f>
        <v>11357</v>
      </c>
      <c r="J14" s="3">
        <f t="shared" si="5"/>
        <v>10311</v>
      </c>
    </row>
    <row r="15" spans="1:11" ht="14.25" customHeight="1" x14ac:dyDescent="0.3">
      <c r="A15" s="2" t="s">
        <v>9</v>
      </c>
      <c r="B15">
        <f>SUM(B6+B11+B14)</f>
        <v>68760</v>
      </c>
      <c r="C15">
        <f t="shared" ref="C15:D15" si="6">SUM(C6+C11+C14)</f>
        <v>68190</v>
      </c>
      <c r="D15">
        <f t="shared" si="6"/>
        <v>63209</v>
      </c>
      <c r="F15" t="s">
        <v>37</v>
      </c>
      <c r="G15" s="2" t="s">
        <v>9</v>
      </c>
      <c r="H15">
        <f>SUBTOTAL(9,H3:H14)</f>
        <v>68760</v>
      </c>
      <c r="I15">
        <f t="shared" ref="I15:J15" si="7">SUBTOTAL(9,I3:I14)</f>
        <v>68190</v>
      </c>
      <c r="J15">
        <f t="shared" si="7"/>
        <v>63209</v>
      </c>
    </row>
    <row r="16" spans="1:11" ht="14.25" customHeight="1" x14ac:dyDescent="0.3">
      <c r="A16" s="2" t="s">
        <v>9</v>
      </c>
      <c r="B16">
        <f>SUM(B3:B14)/2</f>
        <v>68760</v>
      </c>
      <c r="C16">
        <f t="shared" ref="C16:D16" si="8">SUM(C3:C14)/2</f>
        <v>68190</v>
      </c>
      <c r="D16">
        <f t="shared" si="8"/>
        <v>63209</v>
      </c>
      <c r="F16" t="s">
        <v>38</v>
      </c>
      <c r="G16" s="2" t="s">
        <v>9</v>
      </c>
      <c r="H16">
        <f>_xlfn.AGGREGATE(9,0,H3:H14)</f>
        <v>68760</v>
      </c>
      <c r="I16">
        <f t="shared" ref="I16:J16" si="9">_xlfn.AGGREGATE(9,0,I3:I14)</f>
        <v>68190</v>
      </c>
      <c r="J16">
        <f t="shared" si="9"/>
        <v>63209</v>
      </c>
      <c r="K16" t="s">
        <v>35</v>
      </c>
    </row>
    <row r="17" spans="2:2" ht="14.25" customHeight="1" x14ac:dyDescent="0.3"/>
    <row r="18" spans="2:2" ht="14.25" customHeight="1" x14ac:dyDescent="0.3">
      <c r="B18" t="s">
        <v>36</v>
      </c>
    </row>
    <row r="19" spans="2:2" ht="14.25" customHeight="1" x14ac:dyDescent="0.3"/>
    <row r="20" spans="2:2" ht="14.25" customHeight="1" x14ac:dyDescent="0.3"/>
    <row r="21" spans="2:2" ht="14.25" customHeight="1" x14ac:dyDescent="0.3"/>
    <row r="22" spans="2:2" ht="14.25" customHeight="1" x14ac:dyDescent="0.3"/>
    <row r="23" spans="2:2" ht="14.25" customHeight="1" x14ac:dyDescent="0.3"/>
    <row r="24" spans="2:2" ht="14.25" customHeight="1" x14ac:dyDescent="0.3"/>
    <row r="25" spans="2:2" ht="14.25" customHeight="1" x14ac:dyDescent="0.3"/>
    <row r="26" spans="2:2" ht="14.25" customHeight="1" x14ac:dyDescent="0.3"/>
    <row r="27" spans="2:2" ht="14.25" customHeight="1" x14ac:dyDescent="0.3"/>
    <row r="28" spans="2:2" ht="14.25" customHeight="1" x14ac:dyDescent="0.3"/>
    <row r="29" spans="2:2" ht="14.25" customHeight="1" x14ac:dyDescent="0.3"/>
    <row r="30" spans="2:2" ht="14.25" customHeight="1" x14ac:dyDescent="0.3"/>
    <row r="31" spans="2:2" ht="14.25" customHeight="1" x14ac:dyDescent="0.3"/>
    <row r="32" spans="2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Consolidate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4"/>
  <sheetViews>
    <sheetView workbookViewId="0">
      <selection activeCell="F20" sqref="F20"/>
    </sheetView>
  </sheetViews>
  <sheetFormatPr defaultColWidth="14.44140625" defaultRowHeight="15" customHeight="1" outlineLevelRow="2" x14ac:dyDescent="0.3"/>
  <cols>
    <col min="1" max="1" width="17.33203125" customWidth="1"/>
    <col min="2" max="2" width="8.109375" customWidth="1"/>
    <col min="3" max="3" width="7.109375" customWidth="1"/>
    <col min="4" max="4" width="12.109375" customWidth="1"/>
    <col min="5" max="26" width="8.6640625" customWidth="1"/>
  </cols>
  <sheetData>
    <row r="1" spans="1:4" ht="14.25" customHeight="1" x14ac:dyDescent="0.3">
      <c r="A1" s="1" t="s">
        <v>10</v>
      </c>
      <c r="B1" s="1" t="s">
        <v>0</v>
      </c>
      <c r="C1" s="1" t="s">
        <v>1</v>
      </c>
      <c r="D1" s="1" t="s">
        <v>2</v>
      </c>
    </row>
    <row r="2" spans="1:4" ht="14.25" customHeight="1" outlineLevel="2" x14ac:dyDescent="0.3">
      <c r="A2" s="2" t="s">
        <v>3</v>
      </c>
      <c r="B2" s="2">
        <v>8124</v>
      </c>
      <c r="C2" s="2">
        <v>9798</v>
      </c>
      <c r="D2" s="2">
        <v>8213</v>
      </c>
    </row>
    <row r="3" spans="1:4" ht="14.25" customHeight="1" outlineLevel="2" x14ac:dyDescent="0.3">
      <c r="A3" s="2" t="s">
        <v>3</v>
      </c>
      <c r="B3" s="2">
        <v>9399</v>
      </c>
      <c r="C3" s="2">
        <v>9832</v>
      </c>
      <c r="D3" s="2">
        <v>7993</v>
      </c>
    </row>
    <row r="4" spans="1:4" ht="14.25" customHeight="1" outlineLevel="2" x14ac:dyDescent="0.3">
      <c r="A4" s="2" t="s">
        <v>3</v>
      </c>
      <c r="B4" s="2">
        <v>9152</v>
      </c>
      <c r="C4" s="2">
        <v>8223</v>
      </c>
      <c r="D4" s="2">
        <v>7816</v>
      </c>
    </row>
    <row r="5" spans="1:4" ht="14.25" customHeight="1" outlineLevel="1" x14ac:dyDescent="0.3">
      <c r="A5" s="5" t="s">
        <v>25</v>
      </c>
      <c r="B5" s="2">
        <f>SUBTOTAL(9,B2:B4)</f>
        <v>26675</v>
      </c>
      <c r="C5" s="2">
        <f>SUBTOTAL(9,C2:C4)</f>
        <v>27853</v>
      </c>
      <c r="D5" s="2">
        <f>SUBTOTAL(9,D2:D4)</f>
        <v>24022</v>
      </c>
    </row>
    <row r="6" spans="1:4" ht="14.25" customHeight="1" outlineLevel="2" x14ac:dyDescent="0.3">
      <c r="A6" s="2" t="s">
        <v>5</v>
      </c>
      <c r="B6" s="2">
        <v>7991</v>
      </c>
      <c r="C6" s="2">
        <v>6923</v>
      </c>
      <c r="D6" s="2">
        <v>7882</v>
      </c>
    </row>
    <row r="7" spans="1:4" ht="14.25" customHeight="1" outlineLevel="2" x14ac:dyDescent="0.3">
      <c r="A7" s="2" t="s">
        <v>5</v>
      </c>
      <c r="B7" s="2">
        <v>7684</v>
      </c>
      <c r="C7" s="2">
        <v>6500</v>
      </c>
      <c r="D7" s="2">
        <v>7086</v>
      </c>
    </row>
    <row r="8" spans="1:4" ht="14.25" customHeight="1" outlineLevel="2" x14ac:dyDescent="0.3">
      <c r="A8" s="2" t="s">
        <v>5</v>
      </c>
      <c r="B8" s="2">
        <v>6694</v>
      </c>
      <c r="C8" s="2">
        <v>7660</v>
      </c>
      <c r="D8" s="2">
        <v>7537</v>
      </c>
    </row>
    <row r="9" spans="1:4" ht="14.25" customHeight="1" outlineLevel="2" x14ac:dyDescent="0.3">
      <c r="A9" s="2" t="s">
        <v>5</v>
      </c>
      <c r="B9" s="2">
        <v>6900</v>
      </c>
      <c r="C9" s="2">
        <v>7897</v>
      </c>
      <c r="D9" s="2">
        <v>6371</v>
      </c>
    </row>
    <row r="10" spans="1:4" ht="14.25" customHeight="1" outlineLevel="1" x14ac:dyDescent="0.3">
      <c r="A10" s="5" t="s">
        <v>32</v>
      </c>
      <c r="B10" s="2">
        <f>SUBTOTAL(9,B6:B9)</f>
        <v>29269</v>
      </c>
      <c r="C10" s="2">
        <f>SUBTOTAL(9,C6:C9)</f>
        <v>28980</v>
      </c>
      <c r="D10" s="2">
        <f>SUBTOTAL(9,D6:D9)</f>
        <v>28876</v>
      </c>
    </row>
    <row r="11" spans="1:4" ht="14.25" customHeight="1" outlineLevel="2" x14ac:dyDescent="0.3">
      <c r="A11" s="2" t="s">
        <v>7</v>
      </c>
      <c r="B11" s="2">
        <v>6286</v>
      </c>
      <c r="C11" s="2">
        <v>5997</v>
      </c>
      <c r="D11" s="2">
        <v>5209</v>
      </c>
    </row>
    <row r="12" spans="1:4" ht="14.25" customHeight="1" outlineLevel="2" x14ac:dyDescent="0.3">
      <c r="A12" s="2" t="s">
        <v>7</v>
      </c>
      <c r="B12" s="2">
        <v>6530</v>
      </c>
      <c r="C12" s="2">
        <v>5360</v>
      </c>
      <c r="D12" s="2">
        <v>5102</v>
      </c>
    </row>
    <row r="13" spans="1:4" ht="14.25" customHeight="1" outlineLevel="1" x14ac:dyDescent="0.3">
      <c r="A13" s="5" t="s">
        <v>27</v>
      </c>
      <c r="B13" s="2">
        <f>SUBTOTAL(9,B11:B12)</f>
        <v>12816</v>
      </c>
      <c r="C13" s="2">
        <f>SUBTOTAL(9,C11:C12)</f>
        <v>11357</v>
      </c>
      <c r="D13" s="2">
        <f>SUBTOTAL(9,D11:D12)</f>
        <v>10311</v>
      </c>
    </row>
    <row r="14" spans="1:4" ht="14.25" customHeight="1" x14ac:dyDescent="0.3">
      <c r="A14" s="5" t="s">
        <v>28</v>
      </c>
      <c r="B14" s="2">
        <f>SUBTOTAL(9,B2:B12)</f>
        <v>68760</v>
      </c>
      <c r="C14" s="2">
        <f>SUBTOTAL(9,C2:C12)</f>
        <v>68190</v>
      </c>
      <c r="D14" s="2">
        <f>SUBTOTAL(9,D2:D12)</f>
        <v>63209</v>
      </c>
    </row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5"/>
  <sheetViews>
    <sheetView workbookViewId="0">
      <selection activeCell="I20" sqref="I20"/>
    </sheetView>
  </sheetViews>
  <sheetFormatPr defaultColWidth="14.44140625" defaultRowHeight="15" customHeight="1" outlineLevelRow="3" x14ac:dyDescent="0.3"/>
  <cols>
    <col min="1" max="1" width="8.6640625" customWidth="1"/>
    <col min="2" max="2" width="16.33203125" customWidth="1"/>
    <col min="3" max="3" width="14.109375" bestFit="1" customWidth="1"/>
    <col min="4" max="26" width="8.6640625" customWidth="1"/>
  </cols>
  <sheetData>
    <row r="1" spans="1:6" ht="14.25" customHeight="1" x14ac:dyDescent="0.3">
      <c r="A1" s="1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1" t="s">
        <v>9</v>
      </c>
    </row>
    <row r="2" spans="1:6" ht="14.25" customHeight="1" outlineLevel="3" x14ac:dyDescent="0.3">
      <c r="A2" s="2" t="s">
        <v>15</v>
      </c>
      <c r="B2" s="2" t="s">
        <v>3</v>
      </c>
      <c r="C2" s="2" t="s">
        <v>16</v>
      </c>
      <c r="D2" s="2">
        <v>4</v>
      </c>
      <c r="E2" s="2">
        <v>33</v>
      </c>
      <c r="F2" s="2">
        <f t="shared" ref="F2:F59" si="0">D2*E2</f>
        <v>132</v>
      </c>
    </row>
    <row r="3" spans="1:6" ht="14.25" customHeight="1" outlineLevel="3" x14ac:dyDescent="0.3">
      <c r="A3" s="2" t="s">
        <v>15</v>
      </c>
      <c r="B3" s="2" t="s">
        <v>3</v>
      </c>
      <c r="C3" s="2" t="s">
        <v>16</v>
      </c>
      <c r="D3" s="2">
        <v>7</v>
      </c>
      <c r="E3" s="2">
        <v>99</v>
      </c>
      <c r="F3" s="2">
        <f t="shared" si="0"/>
        <v>693</v>
      </c>
    </row>
    <row r="4" spans="1:6" ht="14.25" customHeight="1" outlineLevel="3" x14ac:dyDescent="0.3">
      <c r="A4" s="2" t="s">
        <v>15</v>
      </c>
      <c r="B4" s="2" t="s">
        <v>3</v>
      </c>
      <c r="C4" s="2" t="s">
        <v>16</v>
      </c>
      <c r="D4" s="2">
        <v>4</v>
      </c>
      <c r="E4" s="2">
        <v>33</v>
      </c>
      <c r="F4" s="2">
        <f t="shared" si="0"/>
        <v>132</v>
      </c>
    </row>
    <row r="5" spans="1:6" ht="14.25" customHeight="1" outlineLevel="3" x14ac:dyDescent="0.3">
      <c r="A5" s="2" t="s">
        <v>15</v>
      </c>
      <c r="B5" s="2" t="s">
        <v>3</v>
      </c>
      <c r="C5" s="2" t="s">
        <v>16</v>
      </c>
      <c r="D5" s="2">
        <v>7</v>
      </c>
      <c r="E5" s="2">
        <v>99</v>
      </c>
      <c r="F5" s="2">
        <f t="shared" si="0"/>
        <v>693</v>
      </c>
    </row>
    <row r="6" spans="1:6" ht="14.25" customHeight="1" outlineLevel="3" x14ac:dyDescent="0.3">
      <c r="A6" s="2" t="s">
        <v>15</v>
      </c>
      <c r="B6" s="2" t="s">
        <v>3</v>
      </c>
      <c r="C6" s="2" t="s">
        <v>16</v>
      </c>
      <c r="D6" s="2">
        <v>4</v>
      </c>
      <c r="E6" s="2">
        <v>33</v>
      </c>
      <c r="F6" s="2">
        <f t="shared" si="0"/>
        <v>132</v>
      </c>
    </row>
    <row r="7" spans="1:6" ht="14.25" customHeight="1" outlineLevel="3" x14ac:dyDescent="0.3">
      <c r="A7" s="2" t="s">
        <v>15</v>
      </c>
      <c r="B7" s="2" t="s">
        <v>3</v>
      </c>
      <c r="C7" s="2" t="s">
        <v>16</v>
      </c>
      <c r="D7" s="2">
        <v>7</v>
      </c>
      <c r="E7" s="2">
        <v>99</v>
      </c>
      <c r="F7" s="2">
        <f t="shared" si="0"/>
        <v>693</v>
      </c>
    </row>
    <row r="8" spans="1:6" ht="14.25" customHeight="1" outlineLevel="2" x14ac:dyDescent="0.3">
      <c r="A8" s="2"/>
      <c r="B8" s="2"/>
      <c r="C8" s="5" t="s">
        <v>29</v>
      </c>
      <c r="D8" s="2">
        <f>SUBTOTAL(9,D2:D7)</f>
        <v>33</v>
      </c>
      <c r="E8" s="2">
        <f>SUBTOTAL(9,E2:E7)</f>
        <v>396</v>
      </c>
      <c r="F8" s="2">
        <f>SUBTOTAL(9,F2:F7)</f>
        <v>2475</v>
      </c>
    </row>
    <row r="9" spans="1:6" ht="14.25" customHeight="1" outlineLevel="3" x14ac:dyDescent="0.3">
      <c r="A9" s="2" t="s">
        <v>17</v>
      </c>
      <c r="B9" s="2" t="s">
        <v>3</v>
      </c>
      <c r="C9" s="2" t="s">
        <v>18</v>
      </c>
      <c r="D9" s="2">
        <v>4</v>
      </c>
      <c r="E9" s="2">
        <v>33</v>
      </c>
      <c r="F9" s="2">
        <f t="shared" si="0"/>
        <v>132</v>
      </c>
    </row>
    <row r="10" spans="1:6" ht="14.25" customHeight="1" outlineLevel="3" x14ac:dyDescent="0.3">
      <c r="A10" s="2" t="s">
        <v>19</v>
      </c>
      <c r="B10" s="2" t="s">
        <v>3</v>
      </c>
      <c r="C10" s="2" t="s">
        <v>18</v>
      </c>
      <c r="D10" s="2">
        <v>4</v>
      </c>
      <c r="E10" s="2">
        <v>66</v>
      </c>
      <c r="F10" s="2">
        <f t="shared" si="0"/>
        <v>264</v>
      </c>
    </row>
    <row r="11" spans="1:6" ht="14.25" customHeight="1" outlineLevel="3" x14ac:dyDescent="0.3">
      <c r="A11" s="2" t="s">
        <v>20</v>
      </c>
      <c r="B11" s="2" t="s">
        <v>3</v>
      </c>
      <c r="C11" s="2" t="s">
        <v>18</v>
      </c>
      <c r="D11" s="2">
        <v>6</v>
      </c>
      <c r="E11" s="2">
        <v>77</v>
      </c>
      <c r="F11" s="2">
        <f t="shared" si="0"/>
        <v>462</v>
      </c>
    </row>
    <row r="12" spans="1:6" ht="14.25" customHeight="1" outlineLevel="3" x14ac:dyDescent="0.3">
      <c r="A12" s="2" t="s">
        <v>17</v>
      </c>
      <c r="B12" s="2" t="s">
        <v>3</v>
      </c>
      <c r="C12" s="2" t="s">
        <v>18</v>
      </c>
      <c r="D12" s="2">
        <v>4</v>
      </c>
      <c r="E12" s="2">
        <v>33</v>
      </c>
      <c r="F12" s="2">
        <f t="shared" si="0"/>
        <v>132</v>
      </c>
    </row>
    <row r="13" spans="1:6" ht="14.25" customHeight="1" outlineLevel="3" x14ac:dyDescent="0.3">
      <c r="A13" s="2" t="s">
        <v>19</v>
      </c>
      <c r="B13" s="2" t="s">
        <v>3</v>
      </c>
      <c r="C13" s="2" t="s">
        <v>18</v>
      </c>
      <c r="D13" s="2">
        <v>4</v>
      </c>
      <c r="E13" s="2">
        <v>66</v>
      </c>
      <c r="F13" s="2">
        <f t="shared" si="0"/>
        <v>264</v>
      </c>
    </row>
    <row r="14" spans="1:6" ht="14.25" customHeight="1" outlineLevel="3" x14ac:dyDescent="0.3">
      <c r="A14" s="2" t="s">
        <v>20</v>
      </c>
      <c r="B14" s="2" t="s">
        <v>3</v>
      </c>
      <c r="C14" s="2" t="s">
        <v>18</v>
      </c>
      <c r="D14" s="2">
        <v>6</v>
      </c>
      <c r="E14" s="2">
        <v>77</v>
      </c>
      <c r="F14" s="2">
        <f t="shared" si="0"/>
        <v>462</v>
      </c>
    </row>
    <row r="15" spans="1:6" ht="14.25" customHeight="1" outlineLevel="3" x14ac:dyDescent="0.3">
      <c r="A15" s="2" t="s">
        <v>17</v>
      </c>
      <c r="B15" s="2" t="s">
        <v>3</v>
      </c>
      <c r="C15" s="2" t="s">
        <v>18</v>
      </c>
      <c r="D15" s="2">
        <v>4</v>
      </c>
      <c r="E15" s="2">
        <v>33</v>
      </c>
      <c r="F15" s="2">
        <f t="shared" si="0"/>
        <v>132</v>
      </c>
    </row>
    <row r="16" spans="1:6" ht="14.25" customHeight="1" outlineLevel="3" x14ac:dyDescent="0.3">
      <c r="A16" s="2" t="s">
        <v>19</v>
      </c>
      <c r="B16" s="2" t="s">
        <v>3</v>
      </c>
      <c r="C16" s="2" t="s">
        <v>18</v>
      </c>
      <c r="D16" s="2">
        <v>4</v>
      </c>
      <c r="E16" s="2">
        <v>66</v>
      </c>
      <c r="F16" s="2">
        <f t="shared" si="0"/>
        <v>264</v>
      </c>
    </row>
    <row r="17" spans="1:6" ht="14.25" customHeight="1" outlineLevel="3" x14ac:dyDescent="0.3">
      <c r="A17" s="2" t="s">
        <v>20</v>
      </c>
      <c r="B17" s="2" t="s">
        <v>3</v>
      </c>
      <c r="C17" s="2" t="s">
        <v>18</v>
      </c>
      <c r="D17" s="2">
        <v>6</v>
      </c>
      <c r="E17" s="2">
        <v>77</v>
      </c>
      <c r="F17" s="2">
        <f t="shared" si="0"/>
        <v>462</v>
      </c>
    </row>
    <row r="18" spans="1:6" ht="14.25" customHeight="1" outlineLevel="2" x14ac:dyDescent="0.3">
      <c r="A18" s="2"/>
      <c r="B18" s="2"/>
      <c r="C18" s="5" t="s">
        <v>30</v>
      </c>
      <c r="D18" s="2">
        <f>SUBTOTAL(9,D9:D17)</f>
        <v>42</v>
      </c>
      <c r="E18" s="2">
        <f>SUBTOTAL(9,E9:E17)</f>
        <v>528</v>
      </c>
      <c r="F18" s="2">
        <f>SUBTOTAL(9,F9:F17)</f>
        <v>2574</v>
      </c>
    </row>
    <row r="19" spans="1:6" ht="14.25" customHeight="1" outlineLevel="3" x14ac:dyDescent="0.3">
      <c r="A19" s="2" t="s">
        <v>20</v>
      </c>
      <c r="B19" s="2" t="s">
        <v>3</v>
      </c>
      <c r="C19" s="2" t="s">
        <v>21</v>
      </c>
      <c r="D19" s="2">
        <v>8</v>
      </c>
      <c r="E19" s="2">
        <v>77</v>
      </c>
      <c r="F19" s="2">
        <f t="shared" si="0"/>
        <v>616</v>
      </c>
    </row>
    <row r="20" spans="1:6" ht="14.25" customHeight="1" outlineLevel="3" x14ac:dyDescent="0.3">
      <c r="A20" s="2" t="s">
        <v>22</v>
      </c>
      <c r="B20" s="2" t="s">
        <v>3</v>
      </c>
      <c r="C20" s="2" t="s">
        <v>21</v>
      </c>
      <c r="D20" s="2">
        <v>4</v>
      </c>
      <c r="E20" s="2">
        <v>43</v>
      </c>
      <c r="F20" s="2">
        <f t="shared" si="0"/>
        <v>172</v>
      </c>
    </row>
    <row r="21" spans="1:6" ht="14.25" customHeight="1" outlineLevel="3" x14ac:dyDescent="0.3">
      <c r="A21" s="2" t="s">
        <v>20</v>
      </c>
      <c r="B21" s="2" t="s">
        <v>3</v>
      </c>
      <c r="C21" s="2" t="s">
        <v>21</v>
      </c>
      <c r="D21" s="2">
        <v>8</v>
      </c>
      <c r="E21" s="2">
        <v>77</v>
      </c>
      <c r="F21" s="2">
        <f t="shared" si="0"/>
        <v>616</v>
      </c>
    </row>
    <row r="22" spans="1:6" ht="14.25" customHeight="1" outlineLevel="3" x14ac:dyDescent="0.3">
      <c r="A22" s="2" t="s">
        <v>22</v>
      </c>
      <c r="B22" s="2" t="s">
        <v>3</v>
      </c>
      <c r="C22" s="2" t="s">
        <v>21</v>
      </c>
      <c r="D22" s="2">
        <v>4</v>
      </c>
      <c r="E22" s="2">
        <v>43</v>
      </c>
      <c r="F22" s="2">
        <f t="shared" si="0"/>
        <v>172</v>
      </c>
    </row>
    <row r="23" spans="1:6" ht="14.25" customHeight="1" outlineLevel="3" x14ac:dyDescent="0.3">
      <c r="A23" s="2" t="s">
        <v>20</v>
      </c>
      <c r="B23" s="2" t="s">
        <v>3</v>
      </c>
      <c r="C23" s="2" t="s">
        <v>21</v>
      </c>
      <c r="D23" s="2">
        <v>8</v>
      </c>
      <c r="E23" s="2">
        <v>77</v>
      </c>
      <c r="F23" s="2">
        <f t="shared" si="0"/>
        <v>616</v>
      </c>
    </row>
    <row r="24" spans="1:6" ht="14.25" customHeight="1" outlineLevel="3" x14ac:dyDescent="0.3">
      <c r="A24" s="2" t="s">
        <v>22</v>
      </c>
      <c r="B24" s="2" t="s">
        <v>3</v>
      </c>
      <c r="C24" s="2" t="s">
        <v>21</v>
      </c>
      <c r="D24" s="2">
        <v>4</v>
      </c>
      <c r="E24" s="2">
        <v>43</v>
      </c>
      <c r="F24" s="2">
        <f t="shared" si="0"/>
        <v>172</v>
      </c>
    </row>
    <row r="25" spans="1:6" ht="14.25" customHeight="1" outlineLevel="2" x14ac:dyDescent="0.3">
      <c r="A25" s="2"/>
      <c r="B25" s="2"/>
      <c r="C25" s="5" t="s">
        <v>31</v>
      </c>
      <c r="D25" s="2">
        <f>SUBTOTAL(9,D19:D24)</f>
        <v>36</v>
      </c>
      <c r="E25" s="2">
        <f>SUBTOTAL(9,E19:E24)</f>
        <v>360</v>
      </c>
      <c r="F25" s="2">
        <f>SUBTOTAL(9,F19:F24)</f>
        <v>2364</v>
      </c>
    </row>
    <row r="26" spans="1:6" ht="14.25" customHeight="1" outlineLevel="1" x14ac:dyDescent="0.3">
      <c r="A26" s="2"/>
      <c r="B26" s="5" t="s">
        <v>25</v>
      </c>
      <c r="C26" s="2"/>
      <c r="D26" s="2">
        <f>SUBTOTAL(9,D2:D24)</f>
        <v>111</v>
      </c>
      <c r="E26" s="2">
        <f>SUBTOTAL(9,E2:E24)</f>
        <v>1284</v>
      </c>
      <c r="F26" s="2">
        <f>SUBTOTAL(9,F2:F24)</f>
        <v>7413</v>
      </c>
    </row>
    <row r="27" spans="1:6" ht="14.25" customHeight="1" outlineLevel="3" x14ac:dyDescent="0.3">
      <c r="A27" s="2" t="s">
        <v>23</v>
      </c>
      <c r="B27" s="2" t="s">
        <v>24</v>
      </c>
      <c r="C27" s="2" t="s">
        <v>18</v>
      </c>
      <c r="D27" s="2">
        <v>7</v>
      </c>
      <c r="E27" s="2">
        <v>66</v>
      </c>
      <c r="F27" s="2">
        <f t="shared" si="0"/>
        <v>462</v>
      </c>
    </row>
    <row r="28" spans="1:6" ht="14.25" customHeight="1" outlineLevel="3" x14ac:dyDescent="0.3">
      <c r="A28" s="2" t="s">
        <v>23</v>
      </c>
      <c r="B28" s="2" t="s">
        <v>24</v>
      </c>
      <c r="C28" s="2" t="s">
        <v>18</v>
      </c>
      <c r="D28" s="2">
        <v>7</v>
      </c>
      <c r="E28" s="2">
        <v>66</v>
      </c>
      <c r="F28" s="2">
        <f t="shared" si="0"/>
        <v>462</v>
      </c>
    </row>
    <row r="29" spans="1:6" ht="14.25" customHeight="1" outlineLevel="3" x14ac:dyDescent="0.3">
      <c r="A29" s="2" t="s">
        <v>23</v>
      </c>
      <c r="B29" s="2" t="s">
        <v>24</v>
      </c>
      <c r="C29" s="2" t="s">
        <v>18</v>
      </c>
      <c r="D29" s="2">
        <v>7</v>
      </c>
      <c r="E29" s="2">
        <v>66</v>
      </c>
      <c r="F29" s="2">
        <f t="shared" si="0"/>
        <v>462</v>
      </c>
    </row>
    <row r="30" spans="1:6" ht="14.25" customHeight="1" outlineLevel="2" x14ac:dyDescent="0.3">
      <c r="A30" s="2"/>
      <c r="B30" s="2"/>
      <c r="C30" s="5" t="s">
        <v>30</v>
      </c>
      <c r="D30" s="2">
        <f>SUBTOTAL(9,D27:D29)</f>
        <v>21</v>
      </c>
      <c r="E30" s="2">
        <f>SUBTOTAL(9,E27:E29)</f>
        <v>198</v>
      </c>
      <c r="F30" s="2">
        <f>SUBTOTAL(9,F27:F29)</f>
        <v>1386</v>
      </c>
    </row>
    <row r="31" spans="1:6" ht="14.25" customHeight="1" outlineLevel="3" x14ac:dyDescent="0.3">
      <c r="A31" s="2" t="s">
        <v>23</v>
      </c>
      <c r="B31" s="2" t="s">
        <v>24</v>
      </c>
      <c r="C31" s="2" t="s">
        <v>16</v>
      </c>
      <c r="D31" s="2">
        <v>5</v>
      </c>
      <c r="E31" s="2">
        <v>66</v>
      </c>
      <c r="F31" s="2">
        <f t="shared" si="0"/>
        <v>330</v>
      </c>
    </row>
    <row r="32" spans="1:6" ht="14.25" customHeight="1" outlineLevel="3" x14ac:dyDescent="0.3">
      <c r="A32" s="2" t="s">
        <v>23</v>
      </c>
      <c r="B32" s="2" t="s">
        <v>24</v>
      </c>
      <c r="C32" s="2" t="s">
        <v>16</v>
      </c>
      <c r="D32" s="2">
        <v>5</v>
      </c>
      <c r="E32" s="2">
        <v>66</v>
      </c>
      <c r="F32" s="2">
        <f t="shared" si="0"/>
        <v>330</v>
      </c>
    </row>
    <row r="33" spans="1:6" ht="14.25" customHeight="1" outlineLevel="3" x14ac:dyDescent="0.3">
      <c r="A33" s="2" t="s">
        <v>23</v>
      </c>
      <c r="B33" s="2" t="s">
        <v>24</v>
      </c>
      <c r="C33" s="2" t="s">
        <v>16</v>
      </c>
      <c r="D33" s="2">
        <v>5</v>
      </c>
      <c r="E33" s="2">
        <v>66</v>
      </c>
      <c r="F33" s="2">
        <f t="shared" si="0"/>
        <v>330</v>
      </c>
    </row>
    <row r="34" spans="1:6" ht="14.25" customHeight="1" outlineLevel="2" x14ac:dyDescent="0.3">
      <c r="A34" s="2"/>
      <c r="B34" s="2"/>
      <c r="C34" s="5" t="s">
        <v>29</v>
      </c>
      <c r="D34" s="2">
        <f>SUBTOTAL(9,D31:D33)</f>
        <v>15</v>
      </c>
      <c r="E34" s="2">
        <f>SUBTOTAL(9,E31:E33)</f>
        <v>198</v>
      </c>
      <c r="F34" s="2">
        <f>SUBTOTAL(9,F31:F33)</f>
        <v>990</v>
      </c>
    </row>
    <row r="35" spans="1:6" ht="14.25" customHeight="1" outlineLevel="3" x14ac:dyDescent="0.3">
      <c r="A35" s="2" t="s">
        <v>15</v>
      </c>
      <c r="B35" s="2" t="s">
        <v>24</v>
      </c>
      <c r="C35" s="2" t="s">
        <v>21</v>
      </c>
      <c r="D35" s="2">
        <v>5</v>
      </c>
      <c r="E35" s="2">
        <v>88</v>
      </c>
      <c r="F35" s="2">
        <f t="shared" si="0"/>
        <v>440</v>
      </c>
    </row>
    <row r="36" spans="1:6" ht="14.25" customHeight="1" outlineLevel="3" x14ac:dyDescent="0.3">
      <c r="A36" s="2" t="s">
        <v>15</v>
      </c>
      <c r="B36" s="2" t="s">
        <v>24</v>
      </c>
      <c r="C36" s="2" t="s">
        <v>21</v>
      </c>
      <c r="D36" s="2">
        <v>5</v>
      </c>
      <c r="E36" s="2">
        <v>88</v>
      </c>
      <c r="F36" s="2">
        <f t="shared" si="0"/>
        <v>440</v>
      </c>
    </row>
    <row r="37" spans="1:6" ht="14.25" customHeight="1" outlineLevel="3" x14ac:dyDescent="0.3">
      <c r="A37" s="2" t="s">
        <v>15</v>
      </c>
      <c r="B37" s="2" t="s">
        <v>24</v>
      </c>
      <c r="C37" s="2" t="s">
        <v>21</v>
      </c>
      <c r="D37" s="2">
        <v>5</v>
      </c>
      <c r="E37" s="2">
        <v>88</v>
      </c>
      <c r="F37" s="2">
        <f t="shared" si="0"/>
        <v>440</v>
      </c>
    </row>
    <row r="38" spans="1:6" ht="14.25" customHeight="1" outlineLevel="2" x14ac:dyDescent="0.3">
      <c r="A38" s="2"/>
      <c r="B38" s="2"/>
      <c r="C38" s="5" t="s">
        <v>31</v>
      </c>
      <c r="D38" s="2">
        <f>SUBTOTAL(9,D35:D37)</f>
        <v>15</v>
      </c>
      <c r="E38" s="2">
        <f>SUBTOTAL(9,E35:E37)</f>
        <v>264</v>
      </c>
      <c r="F38" s="2">
        <f>SUBTOTAL(9,F35:F37)</f>
        <v>1320</v>
      </c>
    </row>
    <row r="39" spans="1:6" ht="14.25" customHeight="1" outlineLevel="1" x14ac:dyDescent="0.3">
      <c r="A39" s="2"/>
      <c r="B39" s="5" t="s">
        <v>26</v>
      </c>
      <c r="C39" s="2"/>
      <c r="D39" s="2">
        <f>SUBTOTAL(9,D27:D37)</f>
        <v>51</v>
      </c>
      <c r="E39" s="2">
        <f>SUBTOTAL(9,E27:E37)</f>
        <v>660</v>
      </c>
      <c r="F39" s="2">
        <f>SUBTOTAL(9,F27:F37)</f>
        <v>3696</v>
      </c>
    </row>
    <row r="40" spans="1:6" ht="14.25" customHeight="1" outlineLevel="3" x14ac:dyDescent="0.3">
      <c r="A40" s="2" t="s">
        <v>15</v>
      </c>
      <c r="B40" s="2" t="s">
        <v>7</v>
      </c>
      <c r="C40" s="2" t="s">
        <v>16</v>
      </c>
      <c r="D40" s="2">
        <v>7</v>
      </c>
      <c r="E40" s="2">
        <v>55</v>
      </c>
      <c r="F40" s="2">
        <f t="shared" si="0"/>
        <v>385</v>
      </c>
    </row>
    <row r="41" spans="1:6" ht="14.25" customHeight="1" outlineLevel="3" x14ac:dyDescent="0.3">
      <c r="A41" s="2" t="s">
        <v>17</v>
      </c>
      <c r="B41" s="2" t="s">
        <v>7</v>
      </c>
      <c r="C41" s="2" t="s">
        <v>16</v>
      </c>
      <c r="D41" s="2">
        <v>4</v>
      </c>
      <c r="E41" s="2">
        <v>67</v>
      </c>
      <c r="F41" s="2">
        <f t="shared" si="0"/>
        <v>268</v>
      </c>
    </row>
    <row r="42" spans="1:6" ht="14.25" customHeight="1" outlineLevel="3" x14ac:dyDescent="0.3">
      <c r="A42" s="2" t="s">
        <v>15</v>
      </c>
      <c r="B42" s="2" t="s">
        <v>7</v>
      </c>
      <c r="C42" s="2" t="s">
        <v>16</v>
      </c>
      <c r="D42" s="2">
        <v>7</v>
      </c>
      <c r="E42" s="2">
        <v>55</v>
      </c>
      <c r="F42" s="2">
        <f t="shared" si="0"/>
        <v>385</v>
      </c>
    </row>
    <row r="43" spans="1:6" ht="14.25" customHeight="1" outlineLevel="3" x14ac:dyDescent="0.3">
      <c r="A43" s="2" t="s">
        <v>17</v>
      </c>
      <c r="B43" s="2" t="s">
        <v>7</v>
      </c>
      <c r="C43" s="2" t="s">
        <v>16</v>
      </c>
      <c r="D43" s="2">
        <v>4</v>
      </c>
      <c r="E43" s="2">
        <v>67</v>
      </c>
      <c r="F43" s="2">
        <f t="shared" si="0"/>
        <v>268</v>
      </c>
    </row>
    <row r="44" spans="1:6" ht="14.25" customHeight="1" outlineLevel="3" x14ac:dyDescent="0.3">
      <c r="A44" s="2" t="s">
        <v>15</v>
      </c>
      <c r="B44" s="2" t="s">
        <v>7</v>
      </c>
      <c r="C44" s="2" t="s">
        <v>16</v>
      </c>
      <c r="D44" s="2">
        <v>7</v>
      </c>
      <c r="E44" s="2">
        <v>55</v>
      </c>
      <c r="F44" s="2">
        <f t="shared" si="0"/>
        <v>385</v>
      </c>
    </row>
    <row r="45" spans="1:6" ht="14.25" customHeight="1" outlineLevel="3" x14ac:dyDescent="0.3">
      <c r="A45" s="2" t="s">
        <v>17</v>
      </c>
      <c r="B45" s="2" t="s">
        <v>7</v>
      </c>
      <c r="C45" s="2" t="s">
        <v>16</v>
      </c>
      <c r="D45" s="2">
        <v>4</v>
      </c>
      <c r="E45" s="2">
        <v>67</v>
      </c>
      <c r="F45" s="2">
        <f t="shared" si="0"/>
        <v>268</v>
      </c>
    </row>
    <row r="46" spans="1:6" ht="14.25" customHeight="1" outlineLevel="2" x14ac:dyDescent="0.3">
      <c r="A46" s="2"/>
      <c r="B46" s="2"/>
      <c r="C46" s="5" t="s">
        <v>29</v>
      </c>
      <c r="D46" s="2">
        <f>SUBTOTAL(9,D40:D45)</f>
        <v>33</v>
      </c>
      <c r="E46" s="2">
        <f>SUBTOTAL(9,E40:E45)</f>
        <v>366</v>
      </c>
      <c r="F46" s="2">
        <f>SUBTOTAL(9,F40:F45)</f>
        <v>1959</v>
      </c>
    </row>
    <row r="47" spans="1:6" ht="14.25" customHeight="1" outlineLevel="3" x14ac:dyDescent="0.3">
      <c r="A47" s="2" t="s">
        <v>19</v>
      </c>
      <c r="B47" s="2" t="s">
        <v>7</v>
      </c>
      <c r="C47" s="2" t="s">
        <v>18</v>
      </c>
      <c r="D47" s="2">
        <v>5</v>
      </c>
      <c r="E47" s="2">
        <v>44</v>
      </c>
      <c r="F47" s="2">
        <f t="shared" si="0"/>
        <v>220</v>
      </c>
    </row>
    <row r="48" spans="1:6" ht="14.25" customHeight="1" outlineLevel="3" x14ac:dyDescent="0.3">
      <c r="A48" s="2" t="s">
        <v>17</v>
      </c>
      <c r="B48" s="2" t="s">
        <v>7</v>
      </c>
      <c r="C48" s="2" t="s">
        <v>18</v>
      </c>
      <c r="D48" s="2">
        <v>5</v>
      </c>
      <c r="E48" s="2">
        <v>66</v>
      </c>
      <c r="F48" s="2">
        <f t="shared" si="0"/>
        <v>330</v>
      </c>
    </row>
    <row r="49" spans="1:6" ht="14.25" customHeight="1" outlineLevel="3" x14ac:dyDescent="0.3">
      <c r="A49" s="2" t="s">
        <v>19</v>
      </c>
      <c r="B49" s="2" t="s">
        <v>7</v>
      </c>
      <c r="C49" s="2" t="s">
        <v>18</v>
      </c>
      <c r="D49" s="2">
        <v>5</v>
      </c>
      <c r="E49" s="2">
        <v>44</v>
      </c>
      <c r="F49" s="2">
        <f t="shared" si="0"/>
        <v>220</v>
      </c>
    </row>
    <row r="50" spans="1:6" ht="14.25" customHeight="1" outlineLevel="3" x14ac:dyDescent="0.3">
      <c r="A50" s="2" t="s">
        <v>17</v>
      </c>
      <c r="B50" s="2" t="s">
        <v>7</v>
      </c>
      <c r="C50" s="2" t="s">
        <v>18</v>
      </c>
      <c r="D50" s="2">
        <v>5</v>
      </c>
      <c r="E50" s="2">
        <v>66</v>
      </c>
      <c r="F50" s="2">
        <f t="shared" si="0"/>
        <v>330</v>
      </c>
    </row>
    <row r="51" spans="1:6" ht="14.25" customHeight="1" outlineLevel="3" x14ac:dyDescent="0.3">
      <c r="A51" s="2" t="s">
        <v>19</v>
      </c>
      <c r="B51" s="2" t="s">
        <v>7</v>
      </c>
      <c r="C51" s="2" t="s">
        <v>18</v>
      </c>
      <c r="D51" s="2">
        <v>5</v>
      </c>
      <c r="E51" s="2">
        <v>44</v>
      </c>
      <c r="F51" s="2">
        <f t="shared" si="0"/>
        <v>220</v>
      </c>
    </row>
    <row r="52" spans="1:6" ht="14.25" customHeight="1" outlineLevel="3" x14ac:dyDescent="0.3">
      <c r="A52" s="2" t="s">
        <v>17</v>
      </c>
      <c r="B52" s="2" t="s">
        <v>7</v>
      </c>
      <c r="C52" s="2" t="s">
        <v>18</v>
      </c>
      <c r="D52" s="2">
        <v>5</v>
      </c>
      <c r="E52" s="2">
        <v>66</v>
      </c>
      <c r="F52" s="2">
        <f t="shared" si="0"/>
        <v>330</v>
      </c>
    </row>
    <row r="53" spans="1:6" ht="14.25" customHeight="1" outlineLevel="2" x14ac:dyDescent="0.3">
      <c r="A53" s="2"/>
      <c r="B53" s="2"/>
      <c r="C53" s="5" t="s">
        <v>30</v>
      </c>
      <c r="D53" s="2">
        <f>SUBTOTAL(9,D47:D52)</f>
        <v>30</v>
      </c>
      <c r="E53" s="2">
        <f>SUBTOTAL(9,E47:E52)</f>
        <v>330</v>
      </c>
      <c r="F53" s="2">
        <f>SUBTOTAL(9,F47:F52)</f>
        <v>1650</v>
      </c>
    </row>
    <row r="54" spans="1:6" ht="14.25" customHeight="1" outlineLevel="3" x14ac:dyDescent="0.3">
      <c r="A54" s="2" t="s">
        <v>22</v>
      </c>
      <c r="B54" s="2" t="s">
        <v>7</v>
      </c>
      <c r="C54" s="2" t="s">
        <v>21</v>
      </c>
      <c r="D54" s="2">
        <v>4</v>
      </c>
      <c r="E54" s="2">
        <v>33</v>
      </c>
      <c r="F54" s="2">
        <f t="shared" si="0"/>
        <v>132</v>
      </c>
    </row>
    <row r="55" spans="1:6" ht="14.25" customHeight="1" outlineLevel="3" x14ac:dyDescent="0.3">
      <c r="A55" s="2" t="s">
        <v>22</v>
      </c>
      <c r="B55" s="2" t="s">
        <v>7</v>
      </c>
      <c r="C55" s="2" t="s">
        <v>21</v>
      </c>
      <c r="D55" s="2">
        <v>6</v>
      </c>
      <c r="E55" s="2">
        <v>88</v>
      </c>
      <c r="F55" s="2">
        <f t="shared" si="0"/>
        <v>528</v>
      </c>
    </row>
    <row r="56" spans="1:6" ht="14.25" customHeight="1" outlineLevel="3" x14ac:dyDescent="0.3">
      <c r="A56" s="2" t="s">
        <v>22</v>
      </c>
      <c r="B56" s="2" t="s">
        <v>7</v>
      </c>
      <c r="C56" s="2" t="s">
        <v>21</v>
      </c>
      <c r="D56" s="2">
        <v>4</v>
      </c>
      <c r="E56" s="2">
        <v>33</v>
      </c>
      <c r="F56" s="2">
        <f t="shared" si="0"/>
        <v>132</v>
      </c>
    </row>
    <row r="57" spans="1:6" ht="14.25" customHeight="1" outlineLevel="3" x14ac:dyDescent="0.3">
      <c r="A57" s="2" t="s">
        <v>22</v>
      </c>
      <c r="B57" s="2" t="s">
        <v>7</v>
      </c>
      <c r="C57" s="2" t="s">
        <v>21</v>
      </c>
      <c r="D57" s="2">
        <v>6</v>
      </c>
      <c r="E57" s="2">
        <v>88</v>
      </c>
      <c r="F57" s="2">
        <f t="shared" si="0"/>
        <v>528</v>
      </c>
    </row>
    <row r="58" spans="1:6" ht="14.25" customHeight="1" outlineLevel="3" x14ac:dyDescent="0.3">
      <c r="A58" s="2" t="s">
        <v>22</v>
      </c>
      <c r="B58" s="2" t="s">
        <v>7</v>
      </c>
      <c r="C58" s="2" t="s">
        <v>21</v>
      </c>
      <c r="D58" s="2">
        <v>4</v>
      </c>
      <c r="E58" s="2">
        <v>33</v>
      </c>
      <c r="F58" s="2">
        <f t="shared" si="0"/>
        <v>132</v>
      </c>
    </row>
    <row r="59" spans="1:6" ht="14.25" customHeight="1" outlineLevel="3" x14ac:dyDescent="0.3">
      <c r="A59" s="2" t="s">
        <v>22</v>
      </c>
      <c r="B59" s="2" t="s">
        <v>7</v>
      </c>
      <c r="C59" s="2" t="s">
        <v>21</v>
      </c>
      <c r="D59" s="2">
        <v>6</v>
      </c>
      <c r="E59" s="2">
        <v>88</v>
      </c>
      <c r="F59" s="2">
        <f t="shared" si="0"/>
        <v>528</v>
      </c>
    </row>
    <row r="60" spans="1:6" ht="14.25" customHeight="1" outlineLevel="2" x14ac:dyDescent="0.3">
      <c r="A60" s="2"/>
      <c r="B60" s="2"/>
      <c r="C60" s="5" t="s">
        <v>31</v>
      </c>
      <c r="D60" s="2">
        <f>SUBTOTAL(9,D54:D59)</f>
        <v>30</v>
      </c>
      <c r="E60" s="2">
        <f>SUBTOTAL(9,E54:E59)</f>
        <v>363</v>
      </c>
      <c r="F60" s="2">
        <f>SUBTOTAL(9,F54:F59)</f>
        <v>1980</v>
      </c>
    </row>
    <row r="61" spans="1:6" ht="14.25" customHeight="1" outlineLevel="1" x14ac:dyDescent="0.3">
      <c r="A61" s="2"/>
      <c r="B61" s="5" t="s">
        <v>27</v>
      </c>
      <c r="C61" s="2"/>
      <c r="D61" s="2">
        <f>SUBTOTAL(9,D40:D59)</f>
        <v>93</v>
      </c>
      <c r="E61" s="2">
        <f>SUBTOTAL(9,E40:E59)</f>
        <v>1059</v>
      </c>
      <c r="F61" s="2">
        <f>SUBTOTAL(9,F40:F59)</f>
        <v>5589</v>
      </c>
    </row>
    <row r="62" spans="1:6" ht="14.25" customHeight="1" x14ac:dyDescent="0.3">
      <c r="A62" s="2"/>
      <c r="B62" s="5" t="s">
        <v>28</v>
      </c>
      <c r="C62" s="2"/>
      <c r="D62" s="2">
        <f>SUBTOTAL(9,D2:D59)</f>
        <v>255</v>
      </c>
      <c r="E62" s="2">
        <f>SUBTOTAL(9,E2:E59)</f>
        <v>3003</v>
      </c>
      <c r="F62" s="2">
        <f>SUBTOTAL(9,F2:F59)</f>
        <v>16698</v>
      </c>
    </row>
    <row r="63" spans="1:6" ht="14.25" customHeight="1" x14ac:dyDescent="0.3"/>
    <row r="64" spans="1: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332-A776-48A2-8629-511E89C073CB}">
  <dimension ref="A1:O14"/>
  <sheetViews>
    <sheetView workbookViewId="0">
      <selection activeCell="K22" sqref="K22"/>
    </sheetView>
  </sheetViews>
  <sheetFormatPr defaultRowHeight="14.4" x14ac:dyDescent="0.3"/>
  <sheetData>
    <row r="1" spans="1:15" x14ac:dyDescent="0.3">
      <c r="A1" s="1" t="s">
        <v>10</v>
      </c>
      <c r="B1" s="4" t="s">
        <v>11</v>
      </c>
      <c r="C1" s="1" t="s">
        <v>12</v>
      </c>
      <c r="D1" s="1" t="s">
        <v>13</v>
      </c>
      <c r="E1" s="1" t="s">
        <v>14</v>
      </c>
      <c r="F1" s="1" t="s">
        <v>9</v>
      </c>
      <c r="J1" s="1" t="s">
        <v>10</v>
      </c>
      <c r="K1" s="4" t="s">
        <v>11</v>
      </c>
      <c r="L1" s="1" t="s">
        <v>12</v>
      </c>
      <c r="M1" s="1" t="s">
        <v>13</v>
      </c>
      <c r="N1" s="1" t="s">
        <v>14</v>
      </c>
      <c r="O1" s="1" t="s">
        <v>9</v>
      </c>
    </row>
    <row r="2" spans="1:15" x14ac:dyDescent="0.3">
      <c r="A2" s="2"/>
      <c r="B2" s="2"/>
      <c r="C2" s="5" t="s">
        <v>29</v>
      </c>
      <c r="D2" s="2">
        <v>33</v>
      </c>
      <c r="E2" s="2">
        <v>396</v>
      </c>
      <c r="F2" s="2">
        <v>2475</v>
      </c>
      <c r="J2" s="2"/>
      <c r="K2" s="5" t="s">
        <v>25</v>
      </c>
      <c r="L2" s="2"/>
      <c r="M2" s="2">
        <v>111</v>
      </c>
      <c r="N2" s="2">
        <v>1284</v>
      </c>
      <c r="O2" s="2">
        <v>7413</v>
      </c>
    </row>
    <row r="3" spans="1:15" x14ac:dyDescent="0.3">
      <c r="A3" s="2"/>
      <c r="B3" s="2"/>
      <c r="C3" s="5" t="s">
        <v>30</v>
      </c>
      <c r="D3" s="2">
        <v>42</v>
      </c>
      <c r="E3" s="2">
        <v>528</v>
      </c>
      <c r="F3" s="2">
        <v>2574</v>
      </c>
      <c r="J3" s="2"/>
      <c r="K3" s="5" t="s">
        <v>26</v>
      </c>
      <c r="L3" s="2"/>
      <c r="M3" s="2">
        <v>51</v>
      </c>
      <c r="N3" s="2">
        <v>660</v>
      </c>
      <c r="O3" s="2">
        <v>3696</v>
      </c>
    </row>
    <row r="4" spans="1:15" x14ac:dyDescent="0.3">
      <c r="A4" s="2"/>
      <c r="B4" s="2"/>
      <c r="C4" s="5" t="s">
        <v>31</v>
      </c>
      <c r="D4" s="2">
        <v>36</v>
      </c>
      <c r="E4" s="2">
        <v>360</v>
      </c>
      <c r="F4" s="2">
        <v>2364</v>
      </c>
      <c r="J4" s="2"/>
      <c r="K4" s="5" t="s">
        <v>27</v>
      </c>
      <c r="L4" s="2"/>
      <c r="M4" s="2">
        <v>93</v>
      </c>
      <c r="N4" s="2">
        <v>1059</v>
      </c>
      <c r="O4" s="2">
        <v>5589</v>
      </c>
    </row>
    <row r="5" spans="1:15" x14ac:dyDescent="0.3">
      <c r="A5" s="2"/>
      <c r="B5" s="5" t="s">
        <v>25</v>
      </c>
      <c r="C5" s="2"/>
      <c r="D5" s="2">
        <v>111</v>
      </c>
      <c r="E5" s="2">
        <v>1284</v>
      </c>
      <c r="F5" s="2">
        <v>7413</v>
      </c>
      <c r="J5" s="2"/>
      <c r="K5" s="5" t="s">
        <v>28</v>
      </c>
      <c r="L5" s="2"/>
      <c r="M5" s="2">
        <v>255</v>
      </c>
      <c r="N5" s="2">
        <v>3003</v>
      </c>
      <c r="O5" s="2">
        <v>16698</v>
      </c>
    </row>
    <row r="6" spans="1:15" x14ac:dyDescent="0.3">
      <c r="A6" s="2"/>
      <c r="B6" s="2"/>
      <c r="C6" s="5" t="s">
        <v>30</v>
      </c>
      <c r="D6" s="2">
        <v>21</v>
      </c>
      <c r="E6" s="2">
        <v>198</v>
      </c>
      <c r="F6" s="2">
        <v>1386</v>
      </c>
    </row>
    <row r="7" spans="1:15" x14ac:dyDescent="0.3">
      <c r="A7" s="2"/>
      <c r="B7" s="2"/>
      <c r="C7" s="5" t="s">
        <v>29</v>
      </c>
      <c r="D7" s="2">
        <v>15</v>
      </c>
      <c r="E7" s="2">
        <v>198</v>
      </c>
      <c r="F7" s="2">
        <v>990</v>
      </c>
    </row>
    <row r="8" spans="1:15" x14ac:dyDescent="0.3">
      <c r="A8" s="2"/>
      <c r="B8" s="2"/>
      <c r="C8" s="5" t="s">
        <v>31</v>
      </c>
      <c r="D8" s="2">
        <v>15</v>
      </c>
      <c r="E8" s="2">
        <v>264</v>
      </c>
      <c r="F8" s="2">
        <v>1320</v>
      </c>
    </row>
    <row r="9" spans="1:15" x14ac:dyDescent="0.3">
      <c r="A9" s="2"/>
      <c r="B9" s="5" t="s">
        <v>26</v>
      </c>
      <c r="C9" s="2"/>
      <c r="D9" s="2">
        <v>51</v>
      </c>
      <c r="E9" s="2">
        <v>660</v>
      </c>
      <c r="F9" s="2">
        <v>3696</v>
      </c>
    </row>
    <row r="10" spans="1:15" x14ac:dyDescent="0.3">
      <c r="A10" s="2"/>
      <c r="B10" s="2"/>
      <c r="C10" s="5" t="s">
        <v>29</v>
      </c>
      <c r="D10" s="2">
        <v>33</v>
      </c>
      <c r="E10" s="2">
        <v>366</v>
      </c>
      <c r="F10" s="2">
        <v>1959</v>
      </c>
    </row>
    <row r="11" spans="1:15" x14ac:dyDescent="0.3">
      <c r="A11" s="2"/>
      <c r="B11" s="2"/>
      <c r="C11" s="5" t="s">
        <v>30</v>
      </c>
      <c r="D11" s="2">
        <v>30</v>
      </c>
      <c r="E11" s="2">
        <v>330</v>
      </c>
      <c r="F11" s="2">
        <v>1650</v>
      </c>
    </row>
    <row r="12" spans="1:15" x14ac:dyDescent="0.3">
      <c r="A12" s="2"/>
      <c r="B12" s="2"/>
      <c r="C12" s="5" t="s">
        <v>31</v>
      </c>
      <c r="D12" s="2">
        <v>30</v>
      </c>
      <c r="E12" s="2">
        <v>363</v>
      </c>
      <c r="F12" s="2">
        <v>1980</v>
      </c>
    </row>
    <row r="13" spans="1:15" x14ac:dyDescent="0.3">
      <c r="A13" s="2"/>
      <c r="B13" s="5" t="s">
        <v>27</v>
      </c>
      <c r="C13" s="2"/>
      <c r="D13" s="2">
        <v>93</v>
      </c>
      <c r="E13" s="2">
        <v>1059</v>
      </c>
      <c r="F13" s="2">
        <v>5589</v>
      </c>
    </row>
    <row r="14" spans="1:15" x14ac:dyDescent="0.3">
      <c r="A14" s="2"/>
      <c r="B14" s="5" t="s">
        <v>28</v>
      </c>
      <c r="C14" s="2"/>
      <c r="D14" s="2">
        <v>255</v>
      </c>
      <c r="E14" s="2">
        <v>3003</v>
      </c>
      <c r="F14" s="2">
        <v>16698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Way</vt:lpstr>
      <vt:lpstr>Subtotal</vt:lpstr>
      <vt:lpstr>Multi Level Subtotal</vt:lpstr>
      <vt:lpstr>Data from Subtotal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shubham gawade</cp:lastModifiedBy>
  <dcterms:created xsi:type="dcterms:W3CDTF">2017-11-21T05:48:12Z</dcterms:created>
  <dcterms:modified xsi:type="dcterms:W3CDTF">2025-11-29T12:43:03Z</dcterms:modified>
</cp:coreProperties>
</file>