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ef1a70d1ca2329/Desktop/Sachin/"/>
    </mc:Choice>
  </mc:AlternateContent>
  <xr:revisionPtr revIDLastSave="0" documentId="8_{0A2A4737-9B0F-4B8B-AF93-68300998AD14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Logical Function" sheetId="1" r:id="rId1"/>
  </sheets>
  <calcPr calcId="191029"/>
  <extLst>
    <ext uri="GoogleSheetsCustomDataVersion2">
      <go:sheetsCustomData xmlns:go="http://customooxmlschemas.google.com/" r:id="rId5" roundtripDataChecksum="HuOAHjGCgvw9zysv4vT5PKWAdjyscy7dOFRAY7O0ctk="/>
    </ext>
  </extLst>
</workbook>
</file>

<file path=xl/calcChain.xml><?xml version="1.0" encoding="utf-8"?>
<calcChain xmlns="http://schemas.openxmlformats.org/spreadsheetml/2006/main">
  <c r="W14" i="1" l="1"/>
  <c r="O125" i="1"/>
  <c r="O44" i="1"/>
  <c r="O4" i="1"/>
  <c r="O45" i="1"/>
  <c r="O108" i="1"/>
  <c r="O5" i="1"/>
  <c r="O29" i="1"/>
  <c r="O156" i="1"/>
  <c r="O142" i="1"/>
  <c r="O184" i="1"/>
  <c r="O213" i="1"/>
  <c r="O46" i="1"/>
  <c r="O47" i="1"/>
  <c r="O172" i="1"/>
  <c r="O8" i="1"/>
  <c r="O62" i="1"/>
  <c r="O87" i="1"/>
  <c r="O12" i="1"/>
  <c r="O157" i="1"/>
  <c r="O30" i="1"/>
  <c r="O88" i="1"/>
  <c r="O63" i="1"/>
  <c r="O31" i="1"/>
  <c r="O22" i="1"/>
  <c r="O214" i="1"/>
  <c r="O32" i="1"/>
  <c r="O143" i="1"/>
  <c r="O64" i="1"/>
  <c r="O173" i="1"/>
  <c r="O48" i="1"/>
  <c r="O158" i="1"/>
  <c r="O109" i="1"/>
  <c r="O33" i="1"/>
  <c r="O126" i="1"/>
  <c r="O89" i="1"/>
  <c r="O49" i="1"/>
  <c r="O50" i="1"/>
  <c r="O127" i="1"/>
  <c r="O51" i="1"/>
  <c r="O65" i="1"/>
  <c r="O77" i="1"/>
  <c r="O202" i="1"/>
  <c r="O128" i="1"/>
  <c r="O78" i="1"/>
  <c r="O79" i="1"/>
  <c r="O215" i="1"/>
  <c r="O13" i="1"/>
  <c r="O17" i="1"/>
  <c r="O34" i="1"/>
  <c r="O195" i="1"/>
  <c r="O185" i="1"/>
  <c r="O52" i="1"/>
  <c r="O80" i="1"/>
  <c r="O9" i="1"/>
  <c r="O196" i="1"/>
  <c r="O110" i="1"/>
  <c r="O159" i="1"/>
  <c r="O90" i="1"/>
  <c r="O35" i="1"/>
  <c r="O36" i="1"/>
  <c r="O186" i="1"/>
  <c r="O111" i="1"/>
  <c r="O66" i="1"/>
  <c r="O174" i="1"/>
  <c r="O187" i="1"/>
  <c r="O37" i="1"/>
  <c r="O129" i="1"/>
  <c r="O112" i="1"/>
  <c r="O91" i="1"/>
  <c r="O113" i="1"/>
  <c r="O175" i="1"/>
  <c r="O114" i="1"/>
  <c r="O53" i="1"/>
  <c r="O130" i="1"/>
  <c r="O92" i="1"/>
  <c r="O160" i="1"/>
  <c r="O93" i="1"/>
  <c r="O54" i="1"/>
  <c r="O188" i="1"/>
  <c r="O14" i="1"/>
  <c r="O6" i="1"/>
  <c r="O55" i="1"/>
  <c r="O161" i="1"/>
  <c r="O94" i="1"/>
  <c r="O144" i="1"/>
  <c r="O95" i="1"/>
  <c r="O23" i="1"/>
  <c r="O207" i="1"/>
  <c r="O56" i="1"/>
  <c r="O115" i="1"/>
  <c r="O81" i="1"/>
  <c r="O176" i="1"/>
  <c r="O96" i="1"/>
  <c r="O189" i="1"/>
  <c r="O208" i="1"/>
  <c r="O197" i="1"/>
  <c r="O18" i="1"/>
  <c r="O38" i="1"/>
  <c r="O116" i="1"/>
  <c r="O10" i="1"/>
  <c r="O97" i="1"/>
  <c r="O57" i="1"/>
  <c r="O198" i="1"/>
  <c r="O117" i="1"/>
  <c r="O190" i="1"/>
  <c r="O203" i="1"/>
  <c r="O177" i="1"/>
  <c r="O178" i="1"/>
  <c r="O191" i="1"/>
  <c r="O204" i="1"/>
  <c r="O67" i="1"/>
  <c r="O68" i="1"/>
  <c r="O118" i="1"/>
  <c r="O199" i="1"/>
  <c r="O200" i="1"/>
  <c r="O69" i="1"/>
  <c r="O209" i="1"/>
  <c r="O162" i="1"/>
  <c r="O179" i="1"/>
  <c r="O163" i="1"/>
  <c r="O39" i="1"/>
  <c r="O24" i="1"/>
  <c r="O25" i="1"/>
  <c r="O7" i="1"/>
  <c r="O58" i="1"/>
  <c r="O70" i="1"/>
  <c r="O98" i="1"/>
  <c r="O164" i="1"/>
  <c r="O40" i="1"/>
  <c r="O131" i="1"/>
  <c r="O192" i="1"/>
  <c r="O145" i="1"/>
  <c r="O165" i="1"/>
  <c r="O15" i="1"/>
  <c r="O99" i="1"/>
  <c r="O119" i="1"/>
  <c r="O146" i="1"/>
  <c r="O166" i="1"/>
  <c r="O120" i="1"/>
  <c r="O180" i="1"/>
  <c r="O181" i="1"/>
  <c r="O147" i="1"/>
  <c r="O82" i="1"/>
  <c r="O148" i="1"/>
  <c r="O16" i="1"/>
  <c r="O71" i="1"/>
  <c r="O182" i="1"/>
  <c r="O19" i="1"/>
  <c r="O216" i="1"/>
  <c r="O121" i="1"/>
  <c r="O132" i="1"/>
  <c r="O59" i="1"/>
  <c r="O133" i="1"/>
  <c r="O134" i="1"/>
  <c r="O210" i="1"/>
  <c r="O167" i="1"/>
  <c r="O100" i="1"/>
  <c r="O101" i="1"/>
  <c r="O183" i="1"/>
  <c r="O122" i="1"/>
  <c r="O135" i="1"/>
  <c r="O41" i="1"/>
  <c r="O136" i="1"/>
  <c r="O205" i="1"/>
  <c r="O42" i="1"/>
  <c r="O72" i="1"/>
  <c r="O123" i="1"/>
  <c r="O83" i="1"/>
  <c r="O149" i="1"/>
  <c r="O150" i="1"/>
  <c r="O193" i="1"/>
  <c r="O212" i="1"/>
  <c r="O73" i="1"/>
  <c r="O102" i="1"/>
  <c r="O26" i="1"/>
  <c r="O137" i="1"/>
  <c r="O124" i="1"/>
  <c r="O194" i="1"/>
  <c r="O74" i="1"/>
  <c r="O43" i="1"/>
  <c r="O103" i="1"/>
  <c r="O151" i="1"/>
  <c r="O104" i="1"/>
  <c r="O60" i="1"/>
  <c r="O138" i="1"/>
  <c r="O139" i="1"/>
  <c r="O20" i="1"/>
  <c r="O84" i="1"/>
  <c r="O61" i="1"/>
  <c r="O201" i="1"/>
  <c r="O85" i="1"/>
  <c r="O168" i="1"/>
  <c r="O105" i="1"/>
  <c r="O106" i="1"/>
  <c r="O86" i="1"/>
  <c r="O75" i="1"/>
  <c r="O169" i="1"/>
  <c r="O140" i="1"/>
  <c r="O107" i="1"/>
  <c r="O206" i="1"/>
  <c r="O76" i="1"/>
  <c r="O27" i="1"/>
  <c r="O28" i="1"/>
  <c r="O211" i="1"/>
  <c r="O21" i="1"/>
  <c r="O170" i="1"/>
  <c r="O152" i="1"/>
  <c r="O153" i="1"/>
  <c r="O171" i="1"/>
  <c r="O11" i="1"/>
  <c r="O154" i="1"/>
  <c r="O155" i="1"/>
  <c r="O141" i="1"/>
  <c r="J132" i="1"/>
  <c r="M132" i="1" s="1" a="1"/>
  <c r="M132" i="1" s="1"/>
  <c r="J121" i="1"/>
  <c r="J29" i="1"/>
  <c r="J123" i="1"/>
  <c r="M123" i="1" s="1" a="1"/>
  <c r="M123" i="1" s="1"/>
  <c r="J216" i="1"/>
  <c r="P216" i="1" s="1"/>
  <c r="J19" i="1"/>
  <c r="M19" i="1" s="1" a="1"/>
  <c r="M19" i="1" s="1"/>
  <c r="J72" i="1"/>
  <c r="J87" i="1"/>
  <c r="K87" i="1" s="1"/>
  <c r="J152" i="1"/>
  <c r="P152" i="1" s="1"/>
  <c r="J22" i="1"/>
  <c r="L22" i="1" s="1"/>
  <c r="J31" i="1"/>
  <c r="N31" i="1" s="1" a="1"/>
  <c r="N31" i="1" s="1"/>
  <c r="J114" i="1"/>
  <c r="J27" i="1"/>
  <c r="M27" i="1" s="1" a="1"/>
  <c r="M27" i="1" s="1"/>
  <c r="J198" i="1"/>
  <c r="M198" i="1" s="1" a="1"/>
  <c r="M198" i="1" s="1"/>
  <c r="J119" i="1"/>
  <c r="J42" i="1"/>
  <c r="J175" i="1"/>
  <c r="L175" i="1" s="1"/>
  <c r="J55" i="1"/>
  <c r="M55" i="1" s="1" a="1"/>
  <c r="M55" i="1" s="1"/>
  <c r="J57" i="1"/>
  <c r="P57" i="1" s="1"/>
  <c r="J97" i="1"/>
  <c r="L97" i="1" s="1"/>
  <c r="J205" i="1"/>
  <c r="P205" i="1" s="1"/>
  <c r="J6" i="1"/>
  <c r="L6" i="1" s="1"/>
  <c r="J169" i="1"/>
  <c r="L169" i="1" s="1"/>
  <c r="J159" i="1"/>
  <c r="J14" i="1"/>
  <c r="L14" i="1" s="1"/>
  <c r="J62" i="1"/>
  <c r="M62" i="1" s="1" a="1"/>
  <c r="M62" i="1" s="1"/>
  <c r="J99" i="1"/>
  <c r="P99" i="1" s="1"/>
  <c r="J15" i="1"/>
  <c r="J110" i="1"/>
  <c r="L110" i="1" s="1"/>
  <c r="J10" i="1"/>
  <c r="L10" i="1" s="1"/>
  <c r="J182" i="1"/>
  <c r="J116" i="1"/>
  <c r="J51" i="1"/>
  <c r="L51" i="1" s="1"/>
  <c r="J113" i="1"/>
  <c r="J201" i="1"/>
  <c r="M201" i="1" s="1" a="1"/>
  <c r="M201" i="1" s="1"/>
  <c r="J163" i="1"/>
  <c r="J165" i="1"/>
  <c r="M165" i="1" s="1" a="1"/>
  <c r="M165" i="1" s="1"/>
  <c r="J63" i="1"/>
  <c r="J38" i="1"/>
  <c r="J91" i="1"/>
  <c r="L91" i="1" s="1"/>
  <c r="J153" i="1"/>
  <c r="M153" i="1" s="1" a="1"/>
  <c r="M153" i="1" s="1"/>
  <c r="J61" i="1"/>
  <c r="M61" i="1" s="1" a="1"/>
  <c r="M61" i="1" s="1"/>
  <c r="J71" i="1"/>
  <c r="P71" i="1" s="1"/>
  <c r="J16" i="1"/>
  <c r="J188" i="1"/>
  <c r="L188" i="1" s="1"/>
  <c r="J179" i="1"/>
  <c r="J112" i="1"/>
  <c r="J127" i="1"/>
  <c r="J76" i="1"/>
  <c r="M76" i="1" s="1" a="1"/>
  <c r="M76" i="1" s="1"/>
  <c r="J145" i="1"/>
  <c r="L145" i="1" s="1"/>
  <c r="J50" i="1"/>
  <c r="L50" i="1" s="1"/>
  <c r="J192" i="1"/>
  <c r="J162" i="1"/>
  <c r="J74" i="1"/>
  <c r="J18" i="1"/>
  <c r="N18" i="1" s="1" a="1"/>
  <c r="N18" i="1" s="1"/>
  <c r="J197" i="1"/>
  <c r="M197" i="1" s="1" a="1"/>
  <c r="M197" i="1" s="1"/>
  <c r="J136" i="1"/>
  <c r="L136" i="1" s="1"/>
  <c r="J170" i="1"/>
  <c r="M170" i="1" s="1" a="1"/>
  <c r="M170" i="1" s="1"/>
  <c r="J131" i="1"/>
  <c r="J40" i="1"/>
  <c r="P40" i="1" s="1"/>
  <c r="J196" i="1"/>
  <c r="L196" i="1" s="1"/>
  <c r="J164" i="1"/>
  <c r="L164" i="1" s="1"/>
  <c r="J209" i="1"/>
  <c r="K209" i="1" s="1"/>
  <c r="J155" i="1"/>
  <c r="J8" i="1"/>
  <c r="L8" i="1" s="1"/>
  <c r="J194" i="1"/>
  <c r="P194" i="1" s="1"/>
  <c r="J129" i="1"/>
  <c r="J46" i="1"/>
  <c r="J148" i="1"/>
  <c r="M148" i="1" s="1" a="1"/>
  <c r="M148" i="1" s="1"/>
  <c r="J54" i="1"/>
  <c r="J82" i="1"/>
  <c r="J124" i="1"/>
  <c r="K124" i="1" s="1"/>
  <c r="J137" i="1"/>
  <c r="M137" i="1" s="1" a="1"/>
  <c r="M137" i="1" s="1"/>
  <c r="J69" i="1"/>
  <c r="P69" i="1" s="1"/>
  <c r="J41" i="1"/>
  <c r="J147" i="1"/>
  <c r="J200" i="1"/>
  <c r="M200" i="1" s="1" a="1"/>
  <c r="M200" i="1" s="1"/>
  <c r="J208" i="1"/>
  <c r="N208" i="1" s="1" a="1"/>
  <c r="N208" i="1" s="1"/>
  <c r="J213" i="1"/>
  <c r="J135" i="1"/>
  <c r="L135" i="1" s="1"/>
  <c r="J181" i="1"/>
  <c r="M181" i="1" s="1" a="1"/>
  <c r="M181" i="1" s="1"/>
  <c r="J84" i="1"/>
  <c r="J98" i="1"/>
  <c r="J49" i="1"/>
  <c r="J122" i="1"/>
  <c r="M122" i="1" s="1" a="1"/>
  <c r="M122" i="1" s="1"/>
  <c r="J189" i="1"/>
  <c r="J37" i="1"/>
  <c r="J9" i="1"/>
  <c r="J4" i="1"/>
  <c r="J88" i="1"/>
  <c r="L88" i="1" s="1"/>
  <c r="J30" i="1"/>
  <c r="J89" i="1"/>
  <c r="J183" i="1"/>
  <c r="J26" i="1"/>
  <c r="J101" i="1"/>
  <c r="J21" i="1"/>
  <c r="J187" i="1"/>
  <c r="L187" i="1" s="1"/>
  <c r="J75" i="1"/>
  <c r="J86" i="1"/>
  <c r="J199" i="1"/>
  <c r="J174" i="1"/>
  <c r="J66" i="1"/>
  <c r="J206" i="1"/>
  <c r="J20" i="1"/>
  <c r="J102" i="1"/>
  <c r="M102" i="1" s="1" a="1"/>
  <c r="M102" i="1" s="1"/>
  <c r="J73" i="1"/>
  <c r="J107" i="1"/>
  <c r="J139" i="1"/>
  <c r="J118" i="1"/>
  <c r="L118" i="1" s="1"/>
  <c r="J106" i="1"/>
  <c r="M106" i="1" s="1" a="1"/>
  <c r="M106" i="1" s="1"/>
  <c r="J80" i="1"/>
  <c r="K80" i="1" s="1"/>
  <c r="J96" i="1"/>
  <c r="J5" i="1"/>
  <c r="J68" i="1"/>
  <c r="J126" i="1"/>
  <c r="J172" i="1"/>
  <c r="J105" i="1"/>
  <c r="L105" i="1" s="1"/>
  <c r="J211" i="1"/>
  <c r="J138" i="1"/>
  <c r="L138" i="1" s="1"/>
  <c r="J176" i="1"/>
  <c r="J212" i="1"/>
  <c r="J93" i="1"/>
  <c r="J67" i="1"/>
  <c r="J52" i="1"/>
  <c r="J28" i="1"/>
  <c r="J157" i="1"/>
  <c r="J81" i="1"/>
  <c r="J180" i="1"/>
  <c r="J115" i="1"/>
  <c r="J100" i="1"/>
  <c r="J185" i="1"/>
  <c r="J44" i="1"/>
  <c r="J184" i="1"/>
  <c r="J60" i="1"/>
  <c r="J195" i="1"/>
  <c r="J56" i="1"/>
  <c r="J167" i="1"/>
  <c r="J207" i="1"/>
  <c r="J70" i="1"/>
  <c r="J34" i="1"/>
  <c r="K34" i="1" s="1"/>
  <c r="J204" i="1"/>
  <c r="M204" i="1" s="1" a="1"/>
  <c r="M204" i="1" s="1"/>
  <c r="J193" i="1"/>
  <c r="J191" i="1"/>
  <c r="J23" i="1"/>
  <c r="J178" i="1"/>
  <c r="J58" i="1"/>
  <c r="J33" i="1"/>
  <c r="J104" i="1"/>
  <c r="J150" i="1"/>
  <c r="J111" i="1"/>
  <c r="J177" i="1"/>
  <c r="J151" i="1"/>
  <c r="M151" i="1" s="1" a="1"/>
  <c r="M151" i="1" s="1"/>
  <c r="J109" i="1"/>
  <c r="J158" i="1"/>
  <c r="J95" i="1"/>
  <c r="J210" i="1"/>
  <c r="J203" i="1"/>
  <c r="M203" i="1" s="1" a="1"/>
  <c r="M203" i="1" s="1"/>
  <c r="J168" i="1"/>
  <c r="J108" i="1"/>
  <c r="K108" i="1" s="1"/>
  <c r="J160" i="1"/>
  <c r="J17" i="1"/>
  <c r="J103" i="1"/>
  <c r="L103" i="1" s="1"/>
  <c r="J85" i="1"/>
  <c r="J48" i="1"/>
  <c r="J47" i="1"/>
  <c r="K47" i="1" s="1"/>
  <c r="J142" i="1"/>
  <c r="L142" i="1" s="1"/>
  <c r="J154" i="1"/>
  <c r="J92" i="1"/>
  <c r="J130" i="1"/>
  <c r="J7" i="1"/>
  <c r="M7" i="1" s="1" a="1"/>
  <c r="M7" i="1" s="1"/>
  <c r="J140" i="1"/>
  <c r="M140" i="1" s="1" a="1"/>
  <c r="M140" i="1" s="1"/>
  <c r="J53" i="1"/>
  <c r="J186" i="1"/>
  <c r="K186" i="1" s="1"/>
  <c r="J13" i="1"/>
  <c r="M13" i="1" s="1" a="1"/>
  <c r="M13" i="1" s="1"/>
  <c r="J25" i="1"/>
  <c r="J215" i="1"/>
  <c r="J79" i="1"/>
  <c r="K79" i="1" s="1"/>
  <c r="J144" i="1"/>
  <c r="L144" i="1" s="1"/>
  <c r="J24" i="1"/>
  <c r="J173" i="1"/>
  <c r="J190" i="1"/>
  <c r="L190" i="1" s="1"/>
  <c r="J134" i="1"/>
  <c r="J78" i="1"/>
  <c r="J149" i="1"/>
  <c r="L149" i="1" s="1"/>
  <c r="J36" i="1"/>
  <c r="J120" i="1"/>
  <c r="J64" i="1"/>
  <c r="J11" i="1"/>
  <c r="J12" i="1"/>
  <c r="J143" i="1"/>
  <c r="J35" i="1"/>
  <c r="J94" i="1"/>
  <c r="J32" i="1"/>
  <c r="J133" i="1"/>
  <c r="L133" i="1" s="1"/>
  <c r="J156" i="1"/>
  <c r="M156" i="1" s="1" a="1"/>
  <c r="M156" i="1" s="1"/>
  <c r="J161" i="1"/>
  <c r="J90" i="1"/>
  <c r="J45" i="1"/>
  <c r="J83" i="1"/>
  <c r="J128" i="1"/>
  <c r="J202" i="1"/>
  <c r="J171" i="1"/>
  <c r="L171" i="1" s="1"/>
  <c r="J43" i="1"/>
  <c r="J166" i="1"/>
  <c r="J59" i="1"/>
  <c r="J214" i="1"/>
  <c r="L214" i="1" s="1"/>
  <c r="J125" i="1"/>
  <c r="J117" i="1"/>
  <c r="J77" i="1"/>
  <c r="L77" i="1" s="1"/>
  <c r="J141" i="1"/>
  <c r="K141" i="1" s="1"/>
  <c r="J65" i="1"/>
  <c r="J39" i="1"/>
  <c r="J146" i="1"/>
  <c r="L146" i="1" s="1"/>
  <c r="L18" i="1" l="1"/>
  <c r="W12" i="1"/>
  <c r="W13" i="1" s="1"/>
  <c r="K169" i="1"/>
  <c r="L76" i="1"/>
  <c r="M136" i="1" a="1"/>
  <c r="M136" i="1" s="1"/>
  <c r="N14" i="1" a="1"/>
  <c r="N14" i="1" s="1"/>
  <c r="W10" i="1"/>
  <c r="N216" i="1" a="1"/>
  <c r="N216" i="1" s="1"/>
  <c r="W9" i="1"/>
  <c r="K181" i="1"/>
  <c r="L181" i="1"/>
  <c r="M99" i="1" a="1"/>
  <c r="M99" i="1" s="1"/>
  <c r="W7" i="1"/>
  <c r="W11" i="1"/>
  <c r="L165" i="1"/>
  <c r="W8" i="1"/>
  <c r="K144" i="1"/>
  <c r="K88" i="1"/>
  <c r="L61" i="1"/>
  <c r="K61" i="1"/>
  <c r="K165" i="1"/>
  <c r="K6" i="1"/>
  <c r="M216" i="1" a="1"/>
  <c r="M216" i="1" s="1"/>
  <c r="N152" i="1" a="1"/>
  <c r="N152" i="1" s="1"/>
  <c r="N99" i="1" a="1"/>
  <c r="N99" i="1" s="1"/>
  <c r="K103" i="1"/>
  <c r="N194" i="1" a="1"/>
  <c r="N194" i="1" s="1"/>
  <c r="K76" i="1"/>
  <c r="K216" i="1"/>
  <c r="K18" i="1"/>
  <c r="K50" i="1"/>
  <c r="L216" i="1"/>
  <c r="M194" i="1" a="1"/>
  <c r="M194" i="1" s="1"/>
  <c r="M164" i="1" a="1"/>
  <c r="M164" i="1" s="1"/>
  <c r="M186" i="1" a="1"/>
  <c r="M186" i="1" s="1"/>
  <c r="N205" i="1" a="1"/>
  <c r="N205" i="1" s="1"/>
  <c r="P39" i="1"/>
  <c r="N39" i="1" a="1"/>
  <c r="N39" i="1" s="1"/>
  <c r="M39" i="1" a="1"/>
  <c r="M39" i="1" s="1"/>
  <c r="N128" i="1" a="1"/>
  <c r="N128" i="1" s="1"/>
  <c r="P128" i="1"/>
  <c r="L128" i="1"/>
  <c r="K128" i="1"/>
  <c r="M128" i="1" a="1"/>
  <c r="M128" i="1" s="1"/>
  <c r="P11" i="1"/>
  <c r="N11" i="1" a="1"/>
  <c r="N11" i="1" s="1"/>
  <c r="L11" i="1"/>
  <c r="K11" i="1"/>
  <c r="P215" i="1"/>
  <c r="N215" i="1" a="1"/>
  <c r="N215" i="1" s="1"/>
  <c r="M215" i="1" a="1"/>
  <c r="M215" i="1" s="1"/>
  <c r="L215" i="1"/>
  <c r="K215" i="1"/>
  <c r="P53" i="1"/>
  <c r="M53" i="1" a="1"/>
  <c r="M53" i="1" s="1"/>
  <c r="N53" i="1" a="1"/>
  <c r="N53" i="1" s="1"/>
  <c r="P160" i="1"/>
  <c r="N160" i="1" a="1"/>
  <c r="N160" i="1" s="1"/>
  <c r="M160" i="1" a="1"/>
  <c r="M160" i="1" s="1"/>
  <c r="L160" i="1"/>
  <c r="K160" i="1"/>
  <c r="P104" i="1"/>
  <c r="N104" i="1" a="1"/>
  <c r="N104" i="1" s="1"/>
  <c r="M104" i="1" a="1"/>
  <c r="M104" i="1" s="1"/>
  <c r="L104" i="1"/>
  <c r="K104" i="1"/>
  <c r="P56" i="1"/>
  <c r="N56" i="1" a="1"/>
  <c r="N56" i="1" s="1"/>
  <c r="M56" i="1" a="1"/>
  <c r="M56" i="1" s="1"/>
  <c r="P180" i="1"/>
  <c r="N180" i="1" a="1"/>
  <c r="N180" i="1" s="1"/>
  <c r="M180" i="1" a="1"/>
  <c r="M180" i="1" s="1"/>
  <c r="L180" i="1"/>
  <c r="K180" i="1"/>
  <c r="P176" i="1"/>
  <c r="N176" i="1" a="1"/>
  <c r="N176" i="1" s="1"/>
  <c r="M176" i="1" a="1"/>
  <c r="M176" i="1" s="1"/>
  <c r="L176" i="1"/>
  <c r="K176" i="1"/>
  <c r="P139" i="1"/>
  <c r="N139" i="1" a="1"/>
  <c r="N139" i="1" s="1"/>
  <c r="L139" i="1"/>
  <c r="K139" i="1"/>
  <c r="N21" i="1" a="1"/>
  <c r="N21" i="1" s="1"/>
  <c r="P21" i="1"/>
  <c r="M21" i="1" a="1"/>
  <c r="M21" i="1" s="1"/>
  <c r="P9" i="1"/>
  <c r="N9" i="1" a="1"/>
  <c r="N9" i="1" s="1"/>
  <c r="L9" i="1"/>
  <c r="K9" i="1"/>
  <c r="M9" i="1" a="1"/>
  <c r="M9" i="1" s="1"/>
  <c r="P147" i="1"/>
  <c r="L147" i="1"/>
  <c r="K147" i="1"/>
  <c r="N147" i="1" a="1"/>
  <c r="N147" i="1" s="1"/>
  <c r="P192" i="1"/>
  <c r="N192" i="1" a="1"/>
  <c r="N192" i="1" s="1"/>
  <c r="L192" i="1"/>
  <c r="K192" i="1"/>
  <c r="N16" i="1" a="1"/>
  <c r="N16" i="1" s="1"/>
  <c r="P16" i="1"/>
  <c r="P116" i="1"/>
  <c r="N116" i="1" a="1"/>
  <c r="N116" i="1" s="1"/>
  <c r="L116" i="1"/>
  <c r="K116" i="1"/>
  <c r="N159" i="1" a="1"/>
  <c r="N159" i="1" s="1"/>
  <c r="P159" i="1"/>
  <c r="M159" i="1" a="1"/>
  <c r="M159" i="1" s="1"/>
  <c r="P42" i="1"/>
  <c r="N42" i="1" a="1"/>
  <c r="N42" i="1" s="1"/>
  <c r="M42" i="1" a="1"/>
  <c r="M42" i="1" s="1"/>
  <c r="L53" i="1"/>
  <c r="P65" i="1"/>
  <c r="N65" i="1" a="1"/>
  <c r="N65" i="1" s="1"/>
  <c r="M65" i="1" a="1"/>
  <c r="M65" i="1" s="1"/>
  <c r="L65" i="1"/>
  <c r="K65" i="1"/>
  <c r="N125" i="1" a="1"/>
  <c r="N125" i="1" s="1"/>
  <c r="M125" i="1" a="1"/>
  <c r="M125" i="1" s="1"/>
  <c r="P125" i="1"/>
  <c r="P43" i="1"/>
  <c r="N43" i="1" a="1"/>
  <c r="N43" i="1" s="1"/>
  <c r="M43" i="1" a="1"/>
  <c r="M43" i="1" s="1"/>
  <c r="L43" i="1"/>
  <c r="K43" i="1"/>
  <c r="P83" i="1"/>
  <c r="N83" i="1" a="1"/>
  <c r="N83" i="1" s="1"/>
  <c r="M83" i="1" a="1"/>
  <c r="M83" i="1" s="1"/>
  <c r="L83" i="1"/>
  <c r="K83" i="1"/>
  <c r="N156" i="1" a="1"/>
  <c r="N156" i="1" s="1"/>
  <c r="P156" i="1"/>
  <c r="L156" i="1"/>
  <c r="K156" i="1"/>
  <c r="P35" i="1"/>
  <c r="N35" i="1" a="1"/>
  <c r="N35" i="1" s="1"/>
  <c r="M35" i="1" a="1"/>
  <c r="M35" i="1" s="1"/>
  <c r="L35" i="1"/>
  <c r="K35" i="1"/>
  <c r="N64" i="1" a="1"/>
  <c r="N64" i="1" s="1"/>
  <c r="P64" i="1"/>
  <c r="M64" i="1" a="1"/>
  <c r="M64" i="1" s="1"/>
  <c r="L64" i="1"/>
  <c r="K64" i="1"/>
  <c r="P78" i="1"/>
  <c r="N78" i="1" a="1"/>
  <c r="N78" i="1" s="1"/>
  <c r="M78" i="1" a="1"/>
  <c r="M78" i="1" s="1"/>
  <c r="L78" i="1"/>
  <c r="K78" i="1"/>
  <c r="P24" i="1"/>
  <c r="L24" i="1"/>
  <c r="K24" i="1"/>
  <c r="M24" i="1" a="1"/>
  <c r="M24" i="1" s="1"/>
  <c r="P25" i="1"/>
  <c r="N25" i="1" a="1"/>
  <c r="N25" i="1" s="1"/>
  <c r="L25" i="1"/>
  <c r="K25" i="1"/>
  <c r="M25" i="1" a="1"/>
  <c r="M25" i="1" s="1"/>
  <c r="P140" i="1"/>
  <c r="N140" i="1" a="1"/>
  <c r="N140" i="1" s="1"/>
  <c r="L140" i="1"/>
  <c r="K140" i="1"/>
  <c r="P154" i="1"/>
  <c r="N154" i="1" a="1"/>
  <c r="N154" i="1" s="1"/>
  <c r="M154" i="1" a="1"/>
  <c r="M154" i="1" s="1"/>
  <c r="L154" i="1"/>
  <c r="K154" i="1"/>
  <c r="P85" i="1"/>
  <c r="N85" i="1" a="1"/>
  <c r="N85" i="1" s="1"/>
  <c r="M85" i="1" a="1"/>
  <c r="M85" i="1" s="1"/>
  <c r="L85" i="1"/>
  <c r="K85" i="1"/>
  <c r="P108" i="1"/>
  <c r="N108" i="1" a="1"/>
  <c r="N108" i="1" s="1"/>
  <c r="M108" i="1" a="1"/>
  <c r="M108" i="1" s="1"/>
  <c r="P95" i="1"/>
  <c r="N95" i="1" a="1"/>
  <c r="N95" i="1" s="1"/>
  <c r="M95" i="1" a="1"/>
  <c r="M95" i="1" s="1"/>
  <c r="L95" i="1"/>
  <c r="K95" i="1"/>
  <c r="P177" i="1"/>
  <c r="N177" i="1" a="1"/>
  <c r="N177" i="1" s="1"/>
  <c r="M177" i="1" a="1"/>
  <c r="M177" i="1" s="1"/>
  <c r="L177" i="1"/>
  <c r="K177" i="1"/>
  <c r="N33" i="1" a="1"/>
  <c r="N33" i="1" s="1"/>
  <c r="M33" i="1" a="1"/>
  <c r="M33" i="1" s="1"/>
  <c r="P33" i="1"/>
  <c r="N191" i="1" a="1"/>
  <c r="N191" i="1" s="1"/>
  <c r="P191" i="1"/>
  <c r="M191" i="1" a="1"/>
  <c r="M191" i="1" s="1"/>
  <c r="P70" i="1"/>
  <c r="N70" i="1" a="1"/>
  <c r="N70" i="1" s="1"/>
  <c r="L70" i="1"/>
  <c r="K70" i="1"/>
  <c r="M70" i="1" a="1"/>
  <c r="M70" i="1" s="1"/>
  <c r="P195" i="1"/>
  <c r="N195" i="1" a="1"/>
  <c r="N195" i="1" s="1"/>
  <c r="M195" i="1" a="1"/>
  <c r="M195" i="1" s="1"/>
  <c r="L195" i="1"/>
  <c r="K195" i="1"/>
  <c r="N185" i="1" a="1"/>
  <c r="N185" i="1" s="1"/>
  <c r="P185" i="1"/>
  <c r="M185" i="1" a="1"/>
  <c r="M185" i="1" s="1"/>
  <c r="L185" i="1"/>
  <c r="K185" i="1"/>
  <c r="P81" i="1"/>
  <c r="N81" i="1" a="1"/>
  <c r="N81" i="1" s="1"/>
  <c r="L81" i="1"/>
  <c r="K81" i="1"/>
  <c r="P67" i="1"/>
  <c r="N67" i="1" a="1"/>
  <c r="N67" i="1" s="1"/>
  <c r="M67" i="1" a="1"/>
  <c r="M67" i="1" s="1"/>
  <c r="L67" i="1"/>
  <c r="K67" i="1"/>
  <c r="P138" i="1"/>
  <c r="N138" i="1" a="1"/>
  <c r="N138" i="1" s="1"/>
  <c r="M138" i="1" a="1"/>
  <c r="M138" i="1" s="1"/>
  <c r="P126" i="1"/>
  <c r="N126" i="1" a="1"/>
  <c r="N126" i="1" s="1"/>
  <c r="M126" i="1" a="1"/>
  <c r="M126" i="1" s="1"/>
  <c r="L126" i="1"/>
  <c r="K126" i="1"/>
  <c r="P80" i="1"/>
  <c r="M80" i="1" a="1"/>
  <c r="M80" i="1" s="1"/>
  <c r="P107" i="1"/>
  <c r="M107" i="1" a="1"/>
  <c r="M107" i="1" s="1"/>
  <c r="N107" i="1" a="1"/>
  <c r="N107" i="1" s="1"/>
  <c r="L107" i="1"/>
  <c r="K107" i="1"/>
  <c r="P206" i="1"/>
  <c r="N206" i="1" a="1"/>
  <c r="N206" i="1" s="1"/>
  <c r="M206" i="1" a="1"/>
  <c r="M206" i="1" s="1"/>
  <c r="L206" i="1"/>
  <c r="K206" i="1"/>
  <c r="P86" i="1"/>
  <c r="N86" i="1" a="1"/>
  <c r="N86" i="1" s="1"/>
  <c r="M86" i="1" a="1"/>
  <c r="M86" i="1" s="1"/>
  <c r="L86" i="1"/>
  <c r="K86" i="1"/>
  <c r="P101" i="1"/>
  <c r="N101" i="1" a="1"/>
  <c r="N101" i="1" s="1"/>
  <c r="L101" i="1"/>
  <c r="K101" i="1"/>
  <c r="M101" i="1" a="1"/>
  <c r="M101" i="1" s="1"/>
  <c r="N30" i="1" a="1"/>
  <c r="N30" i="1" s="1"/>
  <c r="P30" i="1"/>
  <c r="M30" i="1" a="1"/>
  <c r="M30" i="1" s="1"/>
  <c r="L30" i="1"/>
  <c r="K30" i="1"/>
  <c r="P37" i="1"/>
  <c r="M37" i="1" a="1"/>
  <c r="M37" i="1" s="1"/>
  <c r="L37" i="1"/>
  <c r="K37" i="1"/>
  <c r="N37" i="1" a="1"/>
  <c r="N37" i="1" s="1"/>
  <c r="P98" i="1"/>
  <c r="N98" i="1" a="1"/>
  <c r="N98" i="1" s="1"/>
  <c r="L98" i="1"/>
  <c r="K98" i="1"/>
  <c r="M98" i="1" a="1"/>
  <c r="M98" i="1" s="1"/>
  <c r="P213" i="1"/>
  <c r="M213" i="1" a="1"/>
  <c r="M213" i="1" s="1"/>
  <c r="N213" i="1" a="1"/>
  <c r="N213" i="1" s="1"/>
  <c r="L213" i="1"/>
  <c r="K213" i="1"/>
  <c r="P41" i="1"/>
  <c r="N41" i="1" a="1"/>
  <c r="N41" i="1" s="1"/>
  <c r="L41" i="1"/>
  <c r="K41" i="1"/>
  <c r="M41" i="1" a="1"/>
  <c r="M41" i="1" s="1"/>
  <c r="P82" i="1"/>
  <c r="N82" i="1" a="1"/>
  <c r="N82" i="1" s="1"/>
  <c r="M82" i="1" a="1"/>
  <c r="M82" i="1" s="1"/>
  <c r="L82" i="1"/>
  <c r="K82" i="1"/>
  <c r="N129" i="1" a="1"/>
  <c r="N129" i="1" s="1"/>
  <c r="P129" i="1"/>
  <c r="M129" i="1" a="1"/>
  <c r="M129" i="1" s="1"/>
  <c r="L129" i="1"/>
  <c r="K129" i="1"/>
  <c r="P209" i="1"/>
  <c r="N209" i="1" a="1"/>
  <c r="N209" i="1" s="1"/>
  <c r="P131" i="1"/>
  <c r="N131" i="1" a="1"/>
  <c r="N131" i="1" s="1"/>
  <c r="L131" i="1"/>
  <c r="K131" i="1"/>
  <c r="M131" i="1" a="1"/>
  <c r="M131" i="1" s="1"/>
  <c r="K171" i="1"/>
  <c r="K105" i="1"/>
  <c r="K135" i="1"/>
  <c r="K16" i="1"/>
  <c r="K40" i="1"/>
  <c r="K118" i="1"/>
  <c r="K187" i="1"/>
  <c r="K33" i="1"/>
  <c r="K125" i="1"/>
  <c r="L42" i="1"/>
  <c r="L209" i="1"/>
  <c r="L80" i="1"/>
  <c r="L108" i="1"/>
  <c r="M11" i="1" a="1"/>
  <c r="M11" i="1" s="1"/>
  <c r="M81" i="1" a="1"/>
  <c r="M81" i="1" s="1"/>
  <c r="P105" i="1"/>
  <c r="P117" i="1"/>
  <c r="N117" i="1" a="1"/>
  <c r="N117" i="1" s="1"/>
  <c r="M117" i="1" a="1"/>
  <c r="M117" i="1" s="1"/>
  <c r="L117" i="1"/>
  <c r="K117" i="1"/>
  <c r="P94" i="1"/>
  <c r="N94" i="1" a="1"/>
  <c r="N94" i="1" s="1"/>
  <c r="L94" i="1"/>
  <c r="K94" i="1"/>
  <c r="N173" i="1" a="1"/>
  <c r="N173" i="1" s="1"/>
  <c r="P173" i="1"/>
  <c r="M173" i="1" a="1"/>
  <c r="M173" i="1" s="1"/>
  <c r="P48" i="1"/>
  <c r="N48" i="1" a="1"/>
  <c r="N48" i="1" s="1"/>
  <c r="M48" i="1" a="1"/>
  <c r="M48" i="1" s="1"/>
  <c r="L48" i="1"/>
  <c r="K48" i="1"/>
  <c r="P151" i="1"/>
  <c r="N151" i="1" a="1"/>
  <c r="N151" i="1" s="1"/>
  <c r="L151" i="1"/>
  <c r="K151" i="1"/>
  <c r="N34" i="1" a="1"/>
  <c r="N34" i="1" s="1"/>
  <c r="M34" i="1" a="1"/>
  <c r="M34" i="1" s="1"/>
  <c r="P34" i="1"/>
  <c r="P52" i="1"/>
  <c r="M52" i="1" a="1"/>
  <c r="M52" i="1" s="1"/>
  <c r="N52" i="1" a="1"/>
  <c r="N52" i="1" s="1"/>
  <c r="L52" i="1"/>
  <c r="K52" i="1"/>
  <c r="N96" i="1" a="1"/>
  <c r="N96" i="1" s="1"/>
  <c r="P96" i="1"/>
  <c r="M96" i="1" a="1"/>
  <c r="M96" i="1" s="1"/>
  <c r="P199" i="1"/>
  <c r="N199" i="1" a="1"/>
  <c r="N199" i="1" s="1"/>
  <c r="M199" i="1" a="1"/>
  <c r="M199" i="1" s="1"/>
  <c r="L199" i="1"/>
  <c r="K199" i="1"/>
  <c r="N49" i="1" a="1"/>
  <c r="N49" i="1" s="1"/>
  <c r="P49" i="1"/>
  <c r="M49" i="1" a="1"/>
  <c r="M49" i="1" s="1"/>
  <c r="L49" i="1"/>
  <c r="K49" i="1"/>
  <c r="N124" i="1" a="1"/>
  <c r="N124" i="1" s="1"/>
  <c r="P124" i="1"/>
  <c r="M124" i="1" a="1"/>
  <c r="M124" i="1" s="1"/>
  <c r="P155" i="1"/>
  <c r="N155" i="1" a="1"/>
  <c r="N155" i="1" s="1"/>
  <c r="M155" i="1" a="1"/>
  <c r="M155" i="1" s="1"/>
  <c r="L155" i="1"/>
  <c r="K155" i="1"/>
  <c r="P197" i="1"/>
  <c r="N197" i="1" a="1"/>
  <c r="N197" i="1" s="1"/>
  <c r="L197" i="1"/>
  <c r="K197" i="1"/>
  <c r="P91" i="1"/>
  <c r="M91" i="1" a="1"/>
  <c r="M91" i="1" s="1"/>
  <c r="N91" i="1" a="1"/>
  <c r="N91" i="1" s="1"/>
  <c r="P15" i="1"/>
  <c r="N15" i="1" a="1"/>
  <c r="N15" i="1" s="1"/>
  <c r="L15" i="1"/>
  <c r="K15" i="1"/>
  <c r="M15" i="1" a="1"/>
  <c r="M15" i="1" s="1"/>
  <c r="N87" i="1" a="1"/>
  <c r="N87" i="1" s="1"/>
  <c r="M87" i="1" a="1"/>
  <c r="M87" i="1" s="1"/>
  <c r="P87" i="1"/>
  <c r="K42" i="1"/>
  <c r="N214" i="1" a="1"/>
  <c r="N214" i="1" s="1"/>
  <c r="P214" i="1"/>
  <c r="M214" i="1" a="1"/>
  <c r="M214" i="1" s="1"/>
  <c r="N45" i="1" a="1"/>
  <c r="N45" i="1" s="1"/>
  <c r="M45" i="1" a="1"/>
  <c r="M45" i="1" s="1"/>
  <c r="P45" i="1"/>
  <c r="L45" i="1"/>
  <c r="K45" i="1"/>
  <c r="P120" i="1"/>
  <c r="N120" i="1" a="1"/>
  <c r="N120" i="1" s="1"/>
  <c r="M120" i="1" a="1"/>
  <c r="M120" i="1" s="1"/>
  <c r="L120" i="1"/>
  <c r="K120" i="1"/>
  <c r="P134" i="1"/>
  <c r="N134" i="1" a="1"/>
  <c r="N134" i="1" s="1"/>
  <c r="L134" i="1"/>
  <c r="K134" i="1"/>
  <c r="M134" i="1" a="1"/>
  <c r="M134" i="1" s="1"/>
  <c r="P13" i="1"/>
  <c r="N13" i="1" a="1"/>
  <c r="N13" i="1" s="1"/>
  <c r="L13" i="1"/>
  <c r="K13" i="1"/>
  <c r="P7" i="1"/>
  <c r="N7" i="1" a="1"/>
  <c r="N7" i="1" s="1"/>
  <c r="L7" i="1"/>
  <c r="K7" i="1"/>
  <c r="N142" i="1" a="1"/>
  <c r="N142" i="1" s="1"/>
  <c r="P142" i="1"/>
  <c r="M142" i="1" a="1"/>
  <c r="M142" i="1" s="1"/>
  <c r="P103" i="1"/>
  <c r="N103" i="1" a="1"/>
  <c r="N103" i="1" s="1"/>
  <c r="M103" i="1" a="1"/>
  <c r="M103" i="1" s="1"/>
  <c r="P168" i="1"/>
  <c r="M168" i="1" a="1"/>
  <c r="M168" i="1" s="1"/>
  <c r="L168" i="1"/>
  <c r="K168" i="1"/>
  <c r="P158" i="1"/>
  <c r="N158" i="1" a="1"/>
  <c r="N158" i="1" s="1"/>
  <c r="M158" i="1" a="1"/>
  <c r="M158" i="1" s="1"/>
  <c r="L158" i="1"/>
  <c r="K158" i="1"/>
  <c r="P111" i="1"/>
  <c r="N111" i="1" a="1"/>
  <c r="N111" i="1" s="1"/>
  <c r="M111" i="1" a="1"/>
  <c r="M111" i="1" s="1"/>
  <c r="L111" i="1"/>
  <c r="K111" i="1"/>
  <c r="P58" i="1"/>
  <c r="N58" i="1" a="1"/>
  <c r="N58" i="1" s="1"/>
  <c r="M58" i="1" a="1"/>
  <c r="M58" i="1" s="1"/>
  <c r="P193" i="1"/>
  <c r="M193" i="1" a="1"/>
  <c r="M193" i="1" s="1"/>
  <c r="N193" i="1" a="1"/>
  <c r="N193" i="1" s="1"/>
  <c r="L193" i="1"/>
  <c r="K193" i="1"/>
  <c r="P207" i="1"/>
  <c r="N207" i="1" a="1"/>
  <c r="N207" i="1" s="1"/>
  <c r="M207" i="1" a="1"/>
  <c r="M207" i="1" s="1"/>
  <c r="L207" i="1"/>
  <c r="K207" i="1"/>
  <c r="P60" i="1"/>
  <c r="N60" i="1" a="1"/>
  <c r="N60" i="1" s="1"/>
  <c r="M60" i="1" a="1"/>
  <c r="M60" i="1" s="1"/>
  <c r="L60" i="1"/>
  <c r="K60" i="1"/>
  <c r="N100" i="1" a="1"/>
  <c r="N100" i="1" s="1"/>
  <c r="P100" i="1"/>
  <c r="M100" i="1" a="1"/>
  <c r="M100" i="1" s="1"/>
  <c r="P157" i="1"/>
  <c r="N157" i="1" a="1"/>
  <c r="N157" i="1" s="1"/>
  <c r="L157" i="1"/>
  <c r="K157" i="1"/>
  <c r="N93" i="1" a="1"/>
  <c r="N93" i="1" s="1"/>
  <c r="M93" i="1" a="1"/>
  <c r="M93" i="1" s="1"/>
  <c r="P93" i="1"/>
  <c r="P211" i="1"/>
  <c r="N211" i="1" a="1"/>
  <c r="N211" i="1" s="1"/>
  <c r="M211" i="1" a="1"/>
  <c r="M211" i="1" s="1"/>
  <c r="L211" i="1"/>
  <c r="K211" i="1"/>
  <c r="P68" i="1"/>
  <c r="N68" i="1" a="1"/>
  <c r="N68" i="1" s="1"/>
  <c r="M68" i="1" a="1"/>
  <c r="M68" i="1" s="1"/>
  <c r="L68" i="1"/>
  <c r="K68" i="1"/>
  <c r="P106" i="1"/>
  <c r="N106" i="1" a="1"/>
  <c r="N106" i="1" s="1"/>
  <c r="L106" i="1"/>
  <c r="K106" i="1"/>
  <c r="P73" i="1"/>
  <c r="N73" i="1" a="1"/>
  <c r="N73" i="1" s="1"/>
  <c r="M73" i="1" a="1"/>
  <c r="M73" i="1" s="1"/>
  <c r="N66" i="1" a="1"/>
  <c r="N66" i="1" s="1"/>
  <c r="P66" i="1"/>
  <c r="M66" i="1" a="1"/>
  <c r="M66" i="1" s="1"/>
  <c r="L66" i="1"/>
  <c r="K66" i="1"/>
  <c r="P75" i="1"/>
  <c r="N75" i="1" a="1"/>
  <c r="N75" i="1" s="1"/>
  <c r="M75" i="1" a="1"/>
  <c r="M75" i="1" s="1"/>
  <c r="L75" i="1"/>
  <c r="K75" i="1"/>
  <c r="P26" i="1"/>
  <c r="N26" i="1" a="1"/>
  <c r="N26" i="1" s="1"/>
  <c r="M26" i="1" a="1"/>
  <c r="M26" i="1" s="1"/>
  <c r="L26" i="1"/>
  <c r="K26" i="1"/>
  <c r="P88" i="1"/>
  <c r="N88" i="1" a="1"/>
  <c r="N88" i="1" s="1"/>
  <c r="M88" i="1" a="1"/>
  <c r="M88" i="1" s="1"/>
  <c r="P189" i="1"/>
  <c r="N189" i="1" a="1"/>
  <c r="N189" i="1" s="1"/>
  <c r="L189" i="1"/>
  <c r="K189" i="1"/>
  <c r="M189" i="1" a="1"/>
  <c r="M189" i="1" s="1"/>
  <c r="P84" i="1"/>
  <c r="N84" i="1" a="1"/>
  <c r="N84" i="1" s="1"/>
  <c r="M84" i="1" a="1"/>
  <c r="M84" i="1" s="1"/>
  <c r="L84" i="1"/>
  <c r="K84" i="1"/>
  <c r="P208" i="1"/>
  <c r="L208" i="1"/>
  <c r="K208" i="1"/>
  <c r="M208" i="1" a="1"/>
  <c r="M208" i="1" s="1"/>
  <c r="K21" i="1"/>
  <c r="K73" i="1"/>
  <c r="K100" i="1"/>
  <c r="K58" i="1"/>
  <c r="K191" i="1"/>
  <c r="K96" i="1"/>
  <c r="K93" i="1"/>
  <c r="K173" i="1"/>
  <c r="L124" i="1"/>
  <c r="L16" i="1"/>
  <c r="L40" i="1"/>
  <c r="L34" i="1"/>
  <c r="L33" i="1"/>
  <c r="L87" i="1"/>
  <c r="L125" i="1"/>
  <c r="M16" i="1" a="1"/>
  <c r="M16" i="1" s="1"/>
  <c r="M192" i="1" a="1"/>
  <c r="M192" i="1" s="1"/>
  <c r="M209" i="1" a="1"/>
  <c r="M209" i="1" s="1"/>
  <c r="M94" i="1" a="1"/>
  <c r="M94" i="1" s="1"/>
  <c r="N168" i="1" a="1"/>
  <c r="N168" i="1" s="1"/>
  <c r="P166" i="1"/>
  <c r="N166" i="1" a="1"/>
  <c r="N166" i="1" s="1"/>
  <c r="L166" i="1"/>
  <c r="K166" i="1"/>
  <c r="P161" i="1"/>
  <c r="N161" i="1" a="1"/>
  <c r="N161" i="1" s="1"/>
  <c r="M161" i="1" a="1"/>
  <c r="M161" i="1" s="1"/>
  <c r="L161" i="1"/>
  <c r="K161" i="1"/>
  <c r="P149" i="1"/>
  <c r="N149" i="1" a="1"/>
  <c r="N149" i="1" s="1"/>
  <c r="M149" i="1" a="1"/>
  <c r="M149" i="1" s="1"/>
  <c r="P92" i="1"/>
  <c r="N92" i="1" a="1"/>
  <c r="N92" i="1" s="1"/>
  <c r="L92" i="1"/>
  <c r="K92" i="1"/>
  <c r="P210" i="1"/>
  <c r="N210" i="1" a="1"/>
  <c r="N210" i="1" s="1"/>
  <c r="L210" i="1"/>
  <c r="K210" i="1"/>
  <c r="M210" i="1" a="1"/>
  <c r="M210" i="1" s="1"/>
  <c r="P23" i="1"/>
  <c r="M23" i="1" a="1"/>
  <c r="M23" i="1" s="1"/>
  <c r="N23" i="1" a="1"/>
  <c r="N23" i="1" s="1"/>
  <c r="L23" i="1"/>
  <c r="K23" i="1"/>
  <c r="N44" i="1" a="1"/>
  <c r="N44" i="1" s="1"/>
  <c r="M44" i="1" a="1"/>
  <c r="M44" i="1" s="1"/>
  <c r="L44" i="1"/>
  <c r="K44" i="1"/>
  <c r="P172" i="1"/>
  <c r="N172" i="1" a="1"/>
  <c r="N172" i="1" s="1"/>
  <c r="M172" i="1" a="1"/>
  <c r="M172" i="1" s="1"/>
  <c r="L172" i="1"/>
  <c r="K172" i="1"/>
  <c r="P20" i="1"/>
  <c r="N20" i="1" a="1"/>
  <c r="N20" i="1" s="1"/>
  <c r="M20" i="1" a="1"/>
  <c r="M20" i="1" s="1"/>
  <c r="L20" i="1"/>
  <c r="K20" i="1"/>
  <c r="N89" i="1" a="1"/>
  <c r="N89" i="1" s="1"/>
  <c r="P89" i="1"/>
  <c r="M89" i="1" a="1"/>
  <c r="M89" i="1" s="1"/>
  <c r="L89" i="1"/>
  <c r="K89" i="1"/>
  <c r="N135" i="1" a="1"/>
  <c r="N135" i="1" s="1"/>
  <c r="P135" i="1"/>
  <c r="M135" i="1" a="1"/>
  <c r="M135" i="1" s="1"/>
  <c r="N46" i="1" a="1"/>
  <c r="N46" i="1" s="1"/>
  <c r="P46" i="1"/>
  <c r="M46" i="1" a="1"/>
  <c r="M46" i="1" s="1"/>
  <c r="L46" i="1"/>
  <c r="K46" i="1"/>
  <c r="N40" i="1" a="1"/>
  <c r="N40" i="1" s="1"/>
  <c r="M40" i="1" a="1"/>
  <c r="M40" i="1" s="1"/>
  <c r="P127" i="1"/>
  <c r="N127" i="1" a="1"/>
  <c r="N127" i="1" s="1"/>
  <c r="M127" i="1" a="1"/>
  <c r="M127" i="1" s="1"/>
  <c r="L127" i="1"/>
  <c r="K127" i="1"/>
  <c r="P163" i="1"/>
  <c r="N163" i="1" a="1"/>
  <c r="N163" i="1" s="1"/>
  <c r="M163" i="1" a="1"/>
  <c r="M163" i="1" s="1"/>
  <c r="L163" i="1"/>
  <c r="K163" i="1"/>
  <c r="P97" i="1"/>
  <c r="N97" i="1" a="1"/>
  <c r="N97" i="1" s="1"/>
  <c r="M97" i="1" a="1"/>
  <c r="M97" i="1" s="1"/>
  <c r="P114" i="1"/>
  <c r="N114" i="1" a="1"/>
  <c r="N114" i="1" s="1"/>
  <c r="M114" i="1" a="1"/>
  <c r="M114" i="1" s="1"/>
  <c r="L114" i="1"/>
  <c r="K114" i="1"/>
  <c r="P123" i="1"/>
  <c r="N123" i="1" a="1"/>
  <c r="N123" i="1" s="1"/>
  <c r="L123" i="1"/>
  <c r="K123" i="1"/>
  <c r="K97" i="1"/>
  <c r="K91" i="1"/>
  <c r="L39" i="1"/>
  <c r="L56" i="1"/>
  <c r="L159" i="1"/>
  <c r="P44" i="1"/>
  <c r="M166" i="1" a="1"/>
  <c r="M166" i="1" s="1"/>
  <c r="W6" i="1"/>
  <c r="W5" i="1"/>
  <c r="W4" i="1"/>
  <c r="M141" i="1" a="1"/>
  <c r="M141" i="1" s="1"/>
  <c r="N141" i="1" a="1"/>
  <c r="N141" i="1" s="1"/>
  <c r="P141" i="1"/>
  <c r="L141" i="1"/>
  <c r="N171" i="1" a="1"/>
  <c r="N171" i="1" s="1"/>
  <c r="P171" i="1"/>
  <c r="M171" i="1" a="1"/>
  <c r="M171" i="1" s="1"/>
  <c r="P133" i="1"/>
  <c r="N133" i="1" a="1"/>
  <c r="N133" i="1" s="1"/>
  <c r="M133" i="1" a="1"/>
  <c r="M133" i="1" s="1"/>
  <c r="P143" i="1"/>
  <c r="N143" i="1" a="1"/>
  <c r="N143" i="1" s="1"/>
  <c r="M143" i="1" a="1"/>
  <c r="M143" i="1" s="1"/>
  <c r="L143" i="1"/>
  <c r="K143" i="1"/>
  <c r="P144" i="1"/>
  <c r="M144" i="1" a="1"/>
  <c r="M144" i="1" s="1"/>
  <c r="N144" i="1" a="1"/>
  <c r="N144" i="1" s="1"/>
  <c r="P146" i="1"/>
  <c r="N146" i="1" a="1"/>
  <c r="N146" i="1" s="1"/>
  <c r="M146" i="1" a="1"/>
  <c r="M146" i="1" s="1"/>
  <c r="N77" i="1" a="1"/>
  <c r="N77" i="1" s="1"/>
  <c r="P77" i="1"/>
  <c r="M77" i="1" a="1"/>
  <c r="M77" i="1" s="1"/>
  <c r="P59" i="1"/>
  <c r="N59" i="1" a="1"/>
  <c r="N59" i="1" s="1"/>
  <c r="M59" i="1" a="1"/>
  <c r="M59" i="1" s="1"/>
  <c r="L59" i="1"/>
  <c r="K59" i="1"/>
  <c r="P202" i="1"/>
  <c r="N202" i="1" a="1"/>
  <c r="N202" i="1" s="1"/>
  <c r="M202" i="1" a="1"/>
  <c r="M202" i="1" s="1"/>
  <c r="L202" i="1"/>
  <c r="K202" i="1"/>
  <c r="P90" i="1"/>
  <c r="M90" i="1" a="1"/>
  <c r="M90" i="1" s="1"/>
  <c r="N90" i="1" a="1"/>
  <c r="N90" i="1" s="1"/>
  <c r="L90" i="1"/>
  <c r="K90" i="1"/>
  <c r="P32" i="1"/>
  <c r="N32" i="1" a="1"/>
  <c r="N32" i="1" s="1"/>
  <c r="M32" i="1" a="1"/>
  <c r="M32" i="1" s="1"/>
  <c r="L32" i="1"/>
  <c r="K32" i="1"/>
  <c r="P12" i="1"/>
  <c r="N12" i="1" a="1"/>
  <c r="N12" i="1" s="1"/>
  <c r="M12" i="1" a="1"/>
  <c r="M12" i="1" s="1"/>
  <c r="L12" i="1"/>
  <c r="K12" i="1"/>
  <c r="P36" i="1"/>
  <c r="M36" i="1" a="1"/>
  <c r="M36" i="1" s="1"/>
  <c r="N36" i="1" a="1"/>
  <c r="N36" i="1" s="1"/>
  <c r="L36" i="1"/>
  <c r="K36" i="1"/>
  <c r="P190" i="1"/>
  <c r="N190" i="1" a="1"/>
  <c r="N190" i="1" s="1"/>
  <c r="M190" i="1" a="1"/>
  <c r="M190" i="1" s="1"/>
  <c r="N79" i="1" a="1"/>
  <c r="N79" i="1" s="1"/>
  <c r="M79" i="1" a="1"/>
  <c r="M79" i="1" s="1"/>
  <c r="P79" i="1"/>
  <c r="N186" i="1" a="1"/>
  <c r="N186" i="1" s="1"/>
  <c r="P186" i="1"/>
  <c r="P130" i="1"/>
  <c r="N130" i="1" a="1"/>
  <c r="N130" i="1" s="1"/>
  <c r="M130" i="1" a="1"/>
  <c r="M130" i="1" s="1"/>
  <c r="L130" i="1"/>
  <c r="K130" i="1"/>
  <c r="P47" i="1"/>
  <c r="N47" i="1" a="1"/>
  <c r="N47" i="1" s="1"/>
  <c r="M47" i="1" a="1"/>
  <c r="M47" i="1" s="1"/>
  <c r="P17" i="1"/>
  <c r="M17" i="1" a="1"/>
  <c r="M17" i="1" s="1"/>
  <c r="N17" i="1" a="1"/>
  <c r="N17" i="1" s="1"/>
  <c r="L17" i="1"/>
  <c r="K17" i="1"/>
  <c r="P203" i="1"/>
  <c r="N203" i="1" a="1"/>
  <c r="N203" i="1" s="1"/>
  <c r="L203" i="1"/>
  <c r="K203" i="1"/>
  <c r="P109" i="1"/>
  <c r="M109" i="1" a="1"/>
  <c r="M109" i="1" s="1"/>
  <c r="N109" i="1" a="1"/>
  <c r="N109" i="1" s="1"/>
  <c r="L109" i="1"/>
  <c r="K109" i="1"/>
  <c r="P150" i="1"/>
  <c r="N150" i="1" a="1"/>
  <c r="N150" i="1" s="1"/>
  <c r="L150" i="1"/>
  <c r="K150" i="1"/>
  <c r="P178" i="1"/>
  <c r="N178" i="1" a="1"/>
  <c r="N178" i="1" s="1"/>
  <c r="M178" i="1" a="1"/>
  <c r="M178" i="1" s="1"/>
  <c r="L178" i="1"/>
  <c r="K178" i="1"/>
  <c r="P204" i="1"/>
  <c r="N204" i="1" a="1"/>
  <c r="N204" i="1" s="1"/>
  <c r="L204" i="1"/>
  <c r="K204" i="1"/>
  <c r="P167" i="1"/>
  <c r="N167" i="1" a="1"/>
  <c r="N167" i="1" s="1"/>
  <c r="L167" i="1"/>
  <c r="K167" i="1"/>
  <c r="P184" i="1"/>
  <c r="N184" i="1" a="1"/>
  <c r="N184" i="1" s="1"/>
  <c r="M184" i="1" a="1"/>
  <c r="M184" i="1" s="1"/>
  <c r="L184" i="1"/>
  <c r="K184" i="1"/>
  <c r="P115" i="1"/>
  <c r="N115" i="1" a="1"/>
  <c r="N115" i="1" s="1"/>
  <c r="M115" i="1" a="1"/>
  <c r="M115" i="1" s="1"/>
  <c r="L115" i="1"/>
  <c r="K115" i="1"/>
  <c r="P28" i="1"/>
  <c r="M28" i="1" a="1"/>
  <c r="M28" i="1" s="1"/>
  <c r="L28" i="1"/>
  <c r="K28" i="1"/>
  <c r="N28" i="1" a="1"/>
  <c r="N28" i="1" s="1"/>
  <c r="P212" i="1"/>
  <c r="N212" i="1" a="1"/>
  <c r="N212" i="1" s="1"/>
  <c r="M212" i="1" a="1"/>
  <c r="M212" i="1" s="1"/>
  <c r="L212" i="1"/>
  <c r="K212" i="1"/>
  <c r="N105" i="1" a="1"/>
  <c r="N105" i="1" s="1"/>
  <c r="M105" i="1" a="1"/>
  <c r="M105" i="1" s="1"/>
  <c r="P5" i="1"/>
  <c r="N5" i="1" a="1"/>
  <c r="N5" i="1" s="1"/>
  <c r="M5" i="1" a="1"/>
  <c r="M5" i="1" s="1"/>
  <c r="L5" i="1"/>
  <c r="K5" i="1"/>
  <c r="N118" i="1" a="1"/>
  <c r="N118" i="1" s="1"/>
  <c r="P118" i="1"/>
  <c r="P102" i="1"/>
  <c r="L102" i="1"/>
  <c r="K102" i="1"/>
  <c r="N102" i="1" a="1"/>
  <c r="N102" i="1" s="1"/>
  <c r="P174" i="1"/>
  <c r="N174" i="1" a="1"/>
  <c r="N174" i="1" s="1"/>
  <c r="M174" i="1" a="1"/>
  <c r="M174" i="1" s="1"/>
  <c r="L174" i="1"/>
  <c r="K174" i="1"/>
  <c r="N187" i="1" a="1"/>
  <c r="N187" i="1" s="1"/>
  <c r="M187" i="1" a="1"/>
  <c r="M187" i="1" s="1"/>
  <c r="P183" i="1"/>
  <c r="N183" i="1" a="1"/>
  <c r="N183" i="1" s="1"/>
  <c r="L183" i="1"/>
  <c r="K183" i="1"/>
  <c r="M183" i="1" a="1"/>
  <c r="M183" i="1" s="1"/>
  <c r="M4" i="1" a="1"/>
  <c r="M4" i="1" s="1"/>
  <c r="N4" i="1" a="1"/>
  <c r="N4" i="1" s="1"/>
  <c r="P4" i="1"/>
  <c r="L4" i="1"/>
  <c r="K4" i="1"/>
  <c r="P122" i="1"/>
  <c r="N122" i="1" a="1"/>
  <c r="N122" i="1" s="1"/>
  <c r="L122" i="1"/>
  <c r="K122" i="1"/>
  <c r="K138" i="1"/>
  <c r="K149" i="1"/>
  <c r="K133" i="1"/>
  <c r="K146" i="1"/>
  <c r="K39" i="1"/>
  <c r="K190" i="1"/>
  <c r="K56" i="1"/>
  <c r="K53" i="1"/>
  <c r="K159" i="1"/>
  <c r="K77" i="1"/>
  <c r="K214" i="1"/>
  <c r="K142" i="1"/>
  <c r="L21" i="1"/>
  <c r="L73" i="1"/>
  <c r="L100" i="1"/>
  <c r="L58" i="1"/>
  <c r="L191" i="1"/>
  <c r="L96" i="1"/>
  <c r="L93" i="1"/>
  <c r="L186" i="1"/>
  <c r="L79" i="1"/>
  <c r="L173" i="1"/>
  <c r="L47" i="1"/>
  <c r="M139" i="1" a="1"/>
  <c r="M139" i="1" s="1"/>
  <c r="M150" i="1" a="1"/>
  <c r="M150" i="1" s="1"/>
  <c r="M167" i="1" a="1"/>
  <c r="M167" i="1" s="1"/>
  <c r="M147" i="1" a="1"/>
  <c r="M147" i="1" s="1"/>
  <c r="M118" i="1" a="1"/>
  <c r="M118" i="1" s="1"/>
  <c r="M116" i="1" a="1"/>
  <c r="M116" i="1" s="1"/>
  <c r="M92" i="1" a="1"/>
  <c r="M92" i="1" s="1"/>
  <c r="M157" i="1" a="1"/>
  <c r="M157" i="1" s="1"/>
  <c r="N24" i="1" a="1"/>
  <c r="N24" i="1" s="1"/>
  <c r="N80" i="1" a="1"/>
  <c r="N80" i="1" s="1"/>
  <c r="P187" i="1"/>
  <c r="P50" i="1"/>
  <c r="M50" i="1" a="1"/>
  <c r="M50" i="1" s="1"/>
  <c r="N50" i="1" a="1"/>
  <c r="N50" i="1" s="1"/>
  <c r="P112" i="1"/>
  <c r="N112" i="1" a="1"/>
  <c r="N112" i="1" s="1"/>
  <c r="P38" i="1"/>
  <c r="N38" i="1" a="1"/>
  <c r="N38" i="1" s="1"/>
  <c r="P201" i="1"/>
  <c r="N201" i="1" a="1"/>
  <c r="N201" i="1" s="1"/>
  <c r="P182" i="1"/>
  <c r="N182" i="1" a="1"/>
  <c r="N182" i="1" s="1"/>
  <c r="P169" i="1"/>
  <c r="N169" i="1" a="1"/>
  <c r="N169" i="1" s="1"/>
  <c r="P119" i="1"/>
  <c r="N119" i="1" a="1"/>
  <c r="N119" i="1" s="1"/>
  <c r="P31" i="1"/>
  <c r="M31" i="1" a="1"/>
  <c r="M31" i="1" s="1"/>
  <c r="P72" i="1"/>
  <c r="N72" i="1" a="1"/>
  <c r="N72" i="1" s="1"/>
  <c r="P29" i="1"/>
  <c r="M29" i="1" a="1"/>
  <c r="M29" i="1" s="1"/>
  <c r="K153" i="1"/>
  <c r="K137" i="1"/>
  <c r="K205" i="1"/>
  <c r="K19" i="1"/>
  <c r="K148" i="1"/>
  <c r="K119" i="1"/>
  <c r="K145" i="1"/>
  <c r="K164" i="1"/>
  <c r="K69" i="1"/>
  <c r="K10" i="1"/>
  <c r="K14" i="1"/>
  <c r="K112" i="1"/>
  <c r="K110" i="1"/>
  <c r="K22" i="1"/>
  <c r="K62" i="1"/>
  <c r="L153" i="1"/>
  <c r="L137" i="1"/>
  <c r="L205" i="1"/>
  <c r="L19" i="1"/>
  <c r="L148" i="1"/>
  <c r="L119" i="1"/>
  <c r="L69" i="1"/>
  <c r="L112" i="1"/>
  <c r="L62" i="1"/>
  <c r="M169" i="1" a="1"/>
  <c r="M169" i="1" s="1"/>
  <c r="M72" i="1" a="1"/>
  <c r="M72" i="1" s="1"/>
  <c r="M69" i="1" a="1"/>
  <c r="M69" i="1" s="1"/>
  <c r="M57" i="1" a="1"/>
  <c r="M57" i="1" s="1"/>
  <c r="M38" i="1" a="1"/>
  <c r="M38" i="1" s="1"/>
  <c r="N71" i="1" a="1"/>
  <c r="N71" i="1" s="1"/>
  <c r="N8" i="1" a="1"/>
  <c r="N8" i="1" s="1"/>
  <c r="P54" i="1"/>
  <c r="N54" i="1" a="1"/>
  <c r="N54" i="1" s="1"/>
  <c r="M54" i="1" a="1"/>
  <c r="M54" i="1" s="1"/>
  <c r="P164" i="1"/>
  <c r="N164" i="1" a="1"/>
  <c r="N164" i="1" s="1"/>
  <c r="P170" i="1"/>
  <c r="N170" i="1" a="1"/>
  <c r="N170" i="1" s="1"/>
  <c r="P74" i="1"/>
  <c r="N74" i="1" a="1"/>
  <c r="N74" i="1" s="1"/>
  <c r="P145" i="1"/>
  <c r="N145" i="1" a="1"/>
  <c r="N145" i="1" s="1"/>
  <c r="P179" i="1"/>
  <c r="N179" i="1" a="1"/>
  <c r="N179" i="1" s="1"/>
  <c r="N61" i="1" a="1"/>
  <c r="N61" i="1" s="1"/>
  <c r="P61" i="1"/>
  <c r="P63" i="1"/>
  <c r="N63" i="1" a="1"/>
  <c r="N63" i="1" s="1"/>
  <c r="P113" i="1"/>
  <c r="N113" i="1" a="1"/>
  <c r="N113" i="1" s="1"/>
  <c r="M113" i="1" a="1"/>
  <c r="M113" i="1" s="1"/>
  <c r="P10" i="1"/>
  <c r="N10" i="1" a="1"/>
  <c r="N10" i="1" s="1"/>
  <c r="N62" i="1" a="1"/>
  <c r="N62" i="1" s="1"/>
  <c r="P62" i="1"/>
  <c r="N6" i="1" a="1"/>
  <c r="N6" i="1" s="1"/>
  <c r="M6" i="1" a="1"/>
  <c r="M6" i="1" s="1"/>
  <c r="P55" i="1"/>
  <c r="N55" i="1" a="1"/>
  <c r="N55" i="1" s="1"/>
  <c r="P198" i="1"/>
  <c r="N198" i="1" a="1"/>
  <c r="N198" i="1" s="1"/>
  <c r="N22" i="1" a="1"/>
  <c r="N22" i="1" s="1"/>
  <c r="P22" i="1"/>
  <c r="M22" i="1" a="1"/>
  <c r="M22" i="1" s="1"/>
  <c r="P19" i="1"/>
  <c r="N19" i="1" a="1"/>
  <c r="N19" i="1" s="1"/>
  <c r="P121" i="1"/>
  <c r="N121" i="1" a="1"/>
  <c r="N121" i="1" s="1"/>
  <c r="K152" i="1"/>
  <c r="K74" i="1"/>
  <c r="K136" i="1"/>
  <c r="K132" i="1"/>
  <c r="K182" i="1"/>
  <c r="K99" i="1"/>
  <c r="K179" i="1"/>
  <c r="K200" i="1"/>
  <c r="K198" i="1"/>
  <c r="K188" i="1"/>
  <c r="K175" i="1"/>
  <c r="K196" i="1"/>
  <c r="K51" i="1"/>
  <c r="K31" i="1"/>
  <c r="K8" i="1"/>
  <c r="K29" i="1"/>
  <c r="L152" i="1"/>
  <c r="L74" i="1"/>
  <c r="L132" i="1"/>
  <c r="L182" i="1"/>
  <c r="L99" i="1"/>
  <c r="L179" i="1"/>
  <c r="L200" i="1"/>
  <c r="L198" i="1"/>
  <c r="L31" i="1"/>
  <c r="L29" i="1"/>
  <c r="M182" i="1" a="1"/>
  <c r="M182" i="1" s="1"/>
  <c r="M179" i="1" a="1"/>
  <c r="M179" i="1" s="1"/>
  <c r="M18" i="1" a="1"/>
  <c r="M18" i="1" s="1"/>
  <c r="M112" i="1" a="1"/>
  <c r="M112" i="1" s="1"/>
  <c r="N69" i="1" a="1"/>
  <c r="N69" i="1" s="1"/>
  <c r="N57" i="1" a="1"/>
  <c r="N57" i="1" s="1"/>
  <c r="N29" i="1" a="1"/>
  <c r="N29" i="1" s="1"/>
  <c r="P18" i="1"/>
  <c r="P181" i="1"/>
  <c r="N181" i="1" a="1"/>
  <c r="N181" i="1" s="1"/>
  <c r="P200" i="1"/>
  <c r="N200" i="1" a="1"/>
  <c r="N200" i="1" s="1"/>
  <c r="P137" i="1"/>
  <c r="N137" i="1" a="1"/>
  <c r="N137" i="1" s="1"/>
  <c r="P148" i="1"/>
  <c r="N148" i="1" a="1"/>
  <c r="N148" i="1" s="1"/>
  <c r="P8" i="1"/>
  <c r="M8" i="1" a="1"/>
  <c r="M8" i="1" s="1"/>
  <c r="P196" i="1"/>
  <c r="N196" i="1" a="1"/>
  <c r="N196" i="1" s="1"/>
  <c r="M196" i="1" a="1"/>
  <c r="M196" i="1" s="1"/>
  <c r="P136" i="1"/>
  <c r="N136" i="1" a="1"/>
  <c r="N136" i="1" s="1"/>
  <c r="P162" i="1"/>
  <c r="N162" i="1" a="1"/>
  <c r="N162" i="1" s="1"/>
  <c r="P76" i="1"/>
  <c r="N76" i="1" a="1"/>
  <c r="N76" i="1" s="1"/>
  <c r="P188" i="1"/>
  <c r="N188" i="1" a="1"/>
  <c r="N188" i="1" s="1"/>
  <c r="P153" i="1"/>
  <c r="N153" i="1" a="1"/>
  <c r="N153" i="1" s="1"/>
  <c r="P165" i="1"/>
  <c r="N165" i="1" a="1"/>
  <c r="N165" i="1" s="1"/>
  <c r="P51" i="1"/>
  <c r="N51" i="1" a="1"/>
  <c r="N51" i="1" s="1"/>
  <c r="M51" i="1" a="1"/>
  <c r="M51" i="1" s="1"/>
  <c r="P110" i="1"/>
  <c r="N110" i="1" a="1"/>
  <c r="N110" i="1" s="1"/>
  <c r="M110" i="1" a="1"/>
  <c r="M110" i="1" s="1"/>
  <c r="P14" i="1"/>
  <c r="M14" i="1" a="1"/>
  <c r="M14" i="1" s="1"/>
  <c r="P175" i="1"/>
  <c r="N175" i="1" a="1"/>
  <c r="N175" i="1" s="1"/>
  <c r="M175" i="1" a="1"/>
  <c r="M175" i="1" s="1"/>
  <c r="P27" i="1"/>
  <c r="N27" i="1" a="1"/>
  <c r="N27" i="1" s="1"/>
  <c r="P132" i="1"/>
  <c r="N132" i="1" a="1"/>
  <c r="N132" i="1" s="1"/>
  <c r="K170" i="1"/>
  <c r="K27" i="1"/>
  <c r="K201" i="1"/>
  <c r="K194" i="1"/>
  <c r="K72" i="1"/>
  <c r="K121" i="1"/>
  <c r="K71" i="1"/>
  <c r="K162" i="1"/>
  <c r="K57" i="1"/>
  <c r="K38" i="1"/>
  <c r="K55" i="1"/>
  <c r="K54" i="1"/>
  <c r="K113" i="1"/>
  <c r="K63" i="1"/>
  <c r="L170" i="1"/>
  <c r="L27" i="1"/>
  <c r="L201" i="1"/>
  <c r="L194" i="1"/>
  <c r="L72" i="1"/>
  <c r="L121" i="1"/>
  <c r="L71" i="1"/>
  <c r="L162" i="1"/>
  <c r="L57" i="1"/>
  <c r="L38" i="1"/>
  <c r="L55" i="1"/>
  <c r="L54" i="1"/>
  <c r="L113" i="1"/>
  <c r="L63" i="1"/>
  <c r="M152" i="1" a="1"/>
  <c r="M152" i="1" s="1"/>
  <c r="M74" i="1" a="1"/>
  <c r="M74" i="1" s="1"/>
  <c r="M205" i="1" a="1"/>
  <c r="M205" i="1" s="1"/>
  <c r="M121" i="1" a="1"/>
  <c r="M121" i="1" s="1"/>
  <c r="M71" i="1" a="1"/>
  <c r="M71" i="1" s="1"/>
  <c r="M119" i="1" a="1"/>
  <c r="M119" i="1" s="1"/>
  <c r="M145" i="1" a="1"/>
  <c r="M145" i="1" s="1"/>
  <c r="M162" i="1" a="1"/>
  <c r="M162" i="1" s="1"/>
  <c r="M10" i="1" a="1"/>
  <c r="M10" i="1" s="1"/>
  <c r="M188" i="1" a="1"/>
  <c r="M188" i="1" s="1"/>
  <c r="M63" i="1" a="1"/>
  <c r="M63" i="1" s="1"/>
  <c r="P6" i="1"/>
  <c r="W15" i="1" l="1"/>
  <c r="AD5" i="1"/>
  <c r="AC4" i="1"/>
  <c r="AC5" i="1"/>
  <c r="AB4" i="1"/>
  <c r="AD4" i="1"/>
  <c r="A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ID#AAABsR8tkUw
User    (2025-10-01 19:43:00)
Qualified if total is  &gt;= 25 else Disqualified</t>
        </r>
      </text>
    </comment>
    <comment ref="L3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ID#AAABsR8tkUo
User    (2025-10-01 19:43:00)
Qualified if total is not equal to 0 else Disqualified</t>
        </r>
      </text>
    </comment>
    <comment ref="M3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ID#AAABsR8tkU0
User    (2025-10-01 19:43:00)
Qualified if all scores are minimum 6 and total is &gt;=25 else Disqualified</t>
        </r>
      </text>
    </comment>
    <comment ref="N3" authorId="0" shapeId="0" xr:uid="{00000000-0006-0000-0000-000002000000}">
      <text>
        <r>
          <rPr>
            <sz val="11"/>
            <color theme="1"/>
            <rFont val="Calibri"/>
            <scheme val="minor"/>
          </rPr>
          <t>==
Qualified if either score is more than 6 or total is &gt;=25 else Disqualified</t>
        </r>
      </text>
    </comment>
    <comment ref="O3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ID#AAABsR8tkUs
User    (2025-10-01 19:43:00)
How many subjects have &gt;6 marks</t>
        </r>
      </text>
    </comment>
    <comment ref="P3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ID#AAABsR8tkU4
User    (2025-10-01 19:43:00)
&lt;20- C
20 - 25 - B
25- 30- B+
30-35- A
&gt;=35- A+</t>
        </r>
      </text>
    </comment>
    <comment ref="AB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ID#AAABsR8tkVA
User    (2025-10-01 19:43:00)
How many students got qualified in case-1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WxetJeMRbt+11b7s3sF4zXbl5pw=="/>
    </ext>
  </extLst>
</comments>
</file>

<file path=xl/sharedStrings.xml><?xml version="1.0" encoding="utf-8"?>
<sst xmlns="http://schemas.openxmlformats.org/spreadsheetml/2006/main" count="913" uniqueCount="447">
  <si>
    <t>ID's</t>
  </si>
  <si>
    <t>Name</t>
  </si>
  <si>
    <t>Locations</t>
  </si>
  <si>
    <t>Day</t>
  </si>
  <si>
    <t>Joining Date</t>
  </si>
  <si>
    <t>Intermediate Excel</t>
  </si>
  <si>
    <t>Advanced Excel</t>
  </si>
  <si>
    <t>Power BI</t>
  </si>
  <si>
    <t>SQL</t>
  </si>
  <si>
    <t>Total</t>
  </si>
  <si>
    <t>Case-1</t>
  </si>
  <si>
    <t>Case-2</t>
  </si>
  <si>
    <t>Case-3</t>
  </si>
  <si>
    <t>Case-4</t>
  </si>
  <si>
    <t>Case-5</t>
  </si>
  <si>
    <t>Case-6</t>
  </si>
  <si>
    <t>Description</t>
  </si>
  <si>
    <t>Values</t>
  </si>
  <si>
    <t>Status</t>
  </si>
  <si>
    <t>Location</t>
  </si>
  <si>
    <t>Count</t>
  </si>
  <si>
    <t>Sum</t>
  </si>
  <si>
    <t>Average</t>
  </si>
  <si>
    <t>ID-00001</t>
  </si>
  <si>
    <t>ravi roy</t>
  </si>
  <si>
    <t>Delhi</t>
  </si>
  <si>
    <t>Tue</t>
  </si>
  <si>
    <t>Qualified</t>
  </si>
  <si>
    <t>ID-00002</t>
  </si>
  <si>
    <t>shiva verma</t>
  </si>
  <si>
    <t>Noida</t>
  </si>
  <si>
    <t>Thu</t>
  </si>
  <si>
    <t>ID-00003</t>
  </si>
  <si>
    <t>mohit sharma</t>
  </si>
  <si>
    <t>Gurgaon</t>
  </si>
  <si>
    <t>ID-00004</t>
  </si>
  <si>
    <t>rupa juneja</t>
  </si>
  <si>
    <t>Median</t>
  </si>
  <si>
    <t>ID-00005</t>
  </si>
  <si>
    <t>deepak mehra</t>
  </si>
  <si>
    <t>Minimum</t>
  </si>
  <si>
    <t>ID-00006</t>
  </si>
  <si>
    <t>ravi mehra</t>
  </si>
  <si>
    <t>Fri</t>
  </si>
  <si>
    <t>Maximum</t>
  </si>
  <si>
    <t>ID-00007</t>
  </si>
  <si>
    <t>shiva mehra</t>
  </si>
  <si>
    <t>2nd Highest</t>
  </si>
  <si>
    <t>ID-00008</t>
  </si>
  <si>
    <t>babu singh</t>
  </si>
  <si>
    <t>Wed</t>
  </si>
  <si>
    <t>3rd Lowest</t>
  </si>
  <si>
    <t>ID-00009</t>
  </si>
  <si>
    <t>jalal singh</t>
  </si>
  <si>
    <t>Mode</t>
  </si>
  <si>
    <t>ID-00010</t>
  </si>
  <si>
    <t>Mon</t>
  </si>
  <si>
    <t>Count of Mode</t>
  </si>
  <si>
    <t>ID-00011</t>
  </si>
  <si>
    <t>rohit gulati</t>
  </si>
  <si>
    <t>Mumbai</t>
  </si>
  <si>
    <t>Names Count</t>
  </si>
  <si>
    <t>ID-00012</t>
  </si>
  <si>
    <t>peter darshan</t>
  </si>
  <si>
    <t>Blank Cells</t>
  </si>
  <si>
    <t>ID-00013</t>
  </si>
  <si>
    <t>deepak verma</t>
  </si>
  <si>
    <t>ID-00014</t>
  </si>
  <si>
    <t>juhi roy</t>
  </si>
  <si>
    <t>Bangalore</t>
  </si>
  <si>
    <t>ID-00015</t>
  </si>
  <si>
    <t>kareena sharma</t>
  </si>
  <si>
    <t>ID-00016</t>
  </si>
  <si>
    <t>rahul jain</t>
  </si>
  <si>
    <t>ID-00017</t>
  </si>
  <si>
    <t>rohan jain</t>
  </si>
  <si>
    <t>ID-00018</t>
  </si>
  <si>
    <t>manav verma</t>
  </si>
  <si>
    <t>ID-00019</t>
  </si>
  <si>
    <t>alok gupta</t>
  </si>
  <si>
    <t>ID-00020</t>
  </si>
  <si>
    <t>manoj kumar</t>
  </si>
  <si>
    <t>ID-00021</t>
  </si>
  <si>
    <t>rohan kumar</t>
  </si>
  <si>
    <t>ID-00022</t>
  </si>
  <si>
    <t>rohit jain</t>
  </si>
  <si>
    <t>ID-00023</t>
  </si>
  <si>
    <t>aryan singh</t>
  </si>
  <si>
    <t>ID-00024</t>
  </si>
  <si>
    <t>alok singh</t>
  </si>
  <si>
    <t>Chennai</t>
  </si>
  <si>
    <t>ID-00025</t>
  </si>
  <si>
    <t>deepak gulati</t>
  </si>
  <si>
    <t>ID-00026</t>
  </si>
  <si>
    <t>sameer roy</t>
  </si>
  <si>
    <t>ID-00027</t>
  </si>
  <si>
    <t>Sat</t>
  </si>
  <si>
    <t>ID-00028</t>
  </si>
  <si>
    <t>peter verma</t>
  </si>
  <si>
    <t>ID-00029</t>
  </si>
  <si>
    <t>juhi verma</t>
  </si>
  <si>
    <t>ID-00030</t>
  </si>
  <si>
    <t>deep singh</t>
  </si>
  <si>
    <t>ID-00031</t>
  </si>
  <si>
    <t>swati suneja</t>
  </si>
  <si>
    <t>ID-00032</t>
  </si>
  <si>
    <t>mayank jain</t>
  </si>
  <si>
    <t>ID-00033</t>
  </si>
  <si>
    <t>sophia roy</t>
  </si>
  <si>
    <t>ID-00034</t>
  </si>
  <si>
    <t>tarun verma</t>
  </si>
  <si>
    <t>ID-00035</t>
  </si>
  <si>
    <t>manish sharma</t>
  </si>
  <si>
    <t>ID-00036</t>
  </si>
  <si>
    <t>maneesh verma</t>
  </si>
  <si>
    <t>ID-00037</t>
  </si>
  <si>
    <t>nitin gupta</t>
  </si>
  <si>
    <t>ID-00038</t>
  </si>
  <si>
    <t>depanshu gupta</t>
  </si>
  <si>
    <t>ID-00039</t>
  </si>
  <si>
    <t>keshav verma</t>
  </si>
  <si>
    <t>ID-00040</t>
  </si>
  <si>
    <t>keshav singh</t>
  </si>
  <si>
    <t>ID-00041</t>
  </si>
  <si>
    <t>gaurav jain</t>
  </si>
  <si>
    <t>ID-00042</t>
  </si>
  <si>
    <t>ankit singh</t>
  </si>
  <si>
    <t>ID-00043</t>
  </si>
  <si>
    <t>divya mehra</t>
  </si>
  <si>
    <t>Sun</t>
  </si>
  <si>
    <t>ID-00044</t>
  </si>
  <si>
    <t>sonia jain</t>
  </si>
  <si>
    <t>ID-00045</t>
  </si>
  <si>
    <t>sonia roy</t>
  </si>
  <si>
    <t>ID-00046</t>
  </si>
  <si>
    <t>ruhi mehra</t>
  </si>
  <si>
    <t>Hyderabad</t>
  </si>
  <si>
    <t>ID-00047</t>
  </si>
  <si>
    <t>jasmine sharma</t>
  </si>
  <si>
    <t>ID-00048</t>
  </si>
  <si>
    <t>sahil roy</t>
  </si>
  <si>
    <t>ID-00049</t>
  </si>
  <si>
    <t>Aakash</t>
  </si>
  <si>
    <t>ID-00050</t>
  </si>
  <si>
    <t>Madhur</t>
  </si>
  <si>
    <t>ID-00051</t>
  </si>
  <si>
    <t>Mohit</t>
  </si>
  <si>
    <t>ID-00052</t>
  </si>
  <si>
    <t>Vikrant</t>
  </si>
  <si>
    <t>ID-00053</t>
  </si>
  <si>
    <t>Abhijeet</t>
  </si>
  <si>
    <t>ID-00054</t>
  </si>
  <si>
    <t>Atika</t>
  </si>
  <si>
    <t>ID-00055</t>
  </si>
  <si>
    <t>Sunny</t>
  </si>
  <si>
    <t>ID-00056</t>
  </si>
  <si>
    <t>Anamika</t>
  </si>
  <si>
    <t>ID-00057</t>
  </si>
  <si>
    <t>Priyanka</t>
  </si>
  <si>
    <t>ID-00058</t>
  </si>
  <si>
    <t>Anisha</t>
  </si>
  <si>
    <t>ID-00059</t>
  </si>
  <si>
    <t>Anupama</t>
  </si>
  <si>
    <t>ID-00060</t>
  </si>
  <si>
    <t>Nidhi</t>
  </si>
  <si>
    <t>ID-00061</t>
  </si>
  <si>
    <t>Harpreet</t>
  </si>
  <si>
    <t>ID-00062</t>
  </si>
  <si>
    <t>Bharti</t>
  </si>
  <si>
    <t>ID-00063</t>
  </si>
  <si>
    <t>Bhumika</t>
  </si>
  <si>
    <t>ID-00064</t>
  </si>
  <si>
    <t>Chander</t>
  </si>
  <si>
    <t>ID-00065</t>
  </si>
  <si>
    <t>Ritu</t>
  </si>
  <si>
    <t>ID-00066</t>
  </si>
  <si>
    <t>Maneesh</t>
  </si>
  <si>
    <t>ID-00067</t>
  </si>
  <si>
    <t>Aaradhya</t>
  </si>
  <si>
    <t>ID-00068</t>
  </si>
  <si>
    <t>Adah</t>
  </si>
  <si>
    <t>ID-00069</t>
  </si>
  <si>
    <t>Adhira</t>
  </si>
  <si>
    <t>ID-00070</t>
  </si>
  <si>
    <t>Alisha</t>
  </si>
  <si>
    <t>ID-00071</t>
  </si>
  <si>
    <t>Amoli</t>
  </si>
  <si>
    <t>ID-00072</t>
  </si>
  <si>
    <t>Anaisha</t>
  </si>
  <si>
    <t>ID-00073</t>
  </si>
  <si>
    <t>Ananya</t>
  </si>
  <si>
    <t>ID-00074</t>
  </si>
  <si>
    <t>Anika</t>
  </si>
  <si>
    <t>ID-00075</t>
  </si>
  <si>
    <t>Anushka</t>
  </si>
  <si>
    <t>ID-00076</t>
  </si>
  <si>
    <t>Asmee</t>
  </si>
  <si>
    <t>ID-00077</t>
  </si>
  <si>
    <t>Avni</t>
  </si>
  <si>
    <t>ID-00078</t>
  </si>
  <si>
    <t>Carina</t>
  </si>
  <si>
    <t>ID-00079</t>
  </si>
  <si>
    <t>Drishti</t>
  </si>
  <si>
    <t>ID-00080</t>
  </si>
  <si>
    <t>Hiya</t>
  </si>
  <si>
    <t>ID-00081</t>
  </si>
  <si>
    <t>Ira</t>
  </si>
  <si>
    <t>ID-00082</t>
  </si>
  <si>
    <t>Ishana</t>
  </si>
  <si>
    <t>ID-00083</t>
  </si>
  <si>
    <t>Ishita</t>
  </si>
  <si>
    <t>ID-00084</t>
  </si>
  <si>
    <t>Kaia</t>
  </si>
  <si>
    <t>ID-00085</t>
  </si>
  <si>
    <t>Kashvi</t>
  </si>
  <si>
    <t>ID-00086</t>
  </si>
  <si>
    <t>Keya</t>
  </si>
  <si>
    <t>ID-00087</t>
  </si>
  <si>
    <t>Kimaya</t>
  </si>
  <si>
    <t>ID-00088</t>
  </si>
  <si>
    <t>Krisha</t>
  </si>
  <si>
    <t>ID-00089</t>
  </si>
  <si>
    <t>Larisa</t>
  </si>
  <si>
    <t>ID-00090</t>
  </si>
  <si>
    <t>Mahika</t>
  </si>
  <si>
    <t>ID-00091</t>
  </si>
  <si>
    <t>Mayra</t>
  </si>
  <si>
    <t>ID-00092</t>
  </si>
  <si>
    <t>Mehar</t>
  </si>
  <si>
    <t>ID-00093</t>
  </si>
  <si>
    <t>Mirai</t>
  </si>
  <si>
    <t>ID-00094</t>
  </si>
  <si>
    <t>Mishka</t>
  </si>
  <si>
    <t>ID-00095</t>
  </si>
  <si>
    <t>Naitee</t>
  </si>
  <si>
    <t>ID-00096</t>
  </si>
  <si>
    <t>Navya</t>
  </si>
  <si>
    <t>ID-00097</t>
  </si>
  <si>
    <t>Nehrika</t>
  </si>
  <si>
    <t>ID-00098</t>
  </si>
  <si>
    <t>Neysa</t>
  </si>
  <si>
    <t>ID-00099</t>
  </si>
  <si>
    <t>Pavati</t>
  </si>
  <si>
    <t>ID-00100</t>
  </si>
  <si>
    <t>Prisha</t>
  </si>
  <si>
    <t>ID-00101</t>
  </si>
  <si>
    <t>Ryka</t>
  </si>
  <si>
    <t>ID-00102</t>
  </si>
  <si>
    <t>Rebecca</t>
  </si>
  <si>
    <t>ID-00103</t>
  </si>
  <si>
    <t>Saanvi</t>
  </si>
  <si>
    <t>ID-00104</t>
  </si>
  <si>
    <t>Sahana</t>
  </si>
  <si>
    <t>ID-00105</t>
  </si>
  <si>
    <t>Sai</t>
  </si>
  <si>
    <t>ID-00106</t>
  </si>
  <si>
    <t>Saisha</t>
  </si>
  <si>
    <t>ID-00107</t>
  </si>
  <si>
    <t>Saloni</t>
  </si>
  <si>
    <t>ID-00108</t>
  </si>
  <si>
    <t>Shanaya</t>
  </si>
  <si>
    <t>ID-00109</t>
  </si>
  <si>
    <t>Shrishti</t>
  </si>
  <si>
    <t>ID-00110</t>
  </si>
  <si>
    <t>Sneha</t>
  </si>
  <si>
    <t>ID-00111</t>
  </si>
  <si>
    <t>Taahira</t>
  </si>
  <si>
    <t>ID-00112</t>
  </si>
  <si>
    <t>Taara</t>
  </si>
  <si>
    <t>ID-00113</t>
  </si>
  <si>
    <t>Tanvi</t>
  </si>
  <si>
    <t>ID-00114</t>
  </si>
  <si>
    <t>Viti</t>
  </si>
  <si>
    <t>ID-00115</t>
  </si>
  <si>
    <t>Zara</t>
  </si>
  <si>
    <t>ID-00116</t>
  </si>
  <si>
    <t>Ravi</t>
  </si>
  <si>
    <t>ID-00117</t>
  </si>
  <si>
    <t>Shiva</t>
  </si>
  <si>
    <t>ID-00118</t>
  </si>
  <si>
    <t>ID-00119</t>
  </si>
  <si>
    <t>Aahva</t>
  </si>
  <si>
    <t>ID-00120</t>
  </si>
  <si>
    <t>Aadiv</t>
  </si>
  <si>
    <t>ID-00121</t>
  </si>
  <si>
    <t>Aarav</t>
  </si>
  <si>
    <t>ID-00122</t>
  </si>
  <si>
    <t>Akanksh</t>
  </si>
  <si>
    <t>ID-00123</t>
  </si>
  <si>
    <t>Alex</t>
  </si>
  <si>
    <t>ID-00124</t>
  </si>
  <si>
    <t>Anant</t>
  </si>
  <si>
    <t>ID-00125</t>
  </si>
  <si>
    <t>Atiksh</t>
  </si>
  <si>
    <t>ID-00126</t>
  </si>
  <si>
    <t>Ayaan</t>
  </si>
  <si>
    <t>ID-00127</t>
  </si>
  <si>
    <t>Bhuv</t>
  </si>
  <si>
    <t>ID-00128</t>
  </si>
  <si>
    <t>Dasya</t>
  </si>
  <si>
    <t>ID-00129</t>
  </si>
  <si>
    <t>Gian</t>
  </si>
  <si>
    <t>ID-00130</t>
  </si>
  <si>
    <t>Hem</t>
  </si>
  <si>
    <t>ID-00131</t>
  </si>
  <si>
    <t>Idhant</t>
  </si>
  <si>
    <t>ID-00132</t>
  </si>
  <si>
    <t>Ishank</t>
  </si>
  <si>
    <t>ID-00133</t>
  </si>
  <si>
    <t>Jash</t>
  </si>
  <si>
    <t>ID-00134</t>
  </si>
  <si>
    <t>Jay</t>
  </si>
  <si>
    <t>ID-00135</t>
  </si>
  <si>
    <t>Joseph</t>
  </si>
  <si>
    <t>ID-00136</t>
  </si>
  <si>
    <t>Kabir</t>
  </si>
  <si>
    <t>ID-00137</t>
  </si>
  <si>
    <t>Kahaan</t>
  </si>
  <si>
    <t>ID-00138</t>
  </si>
  <si>
    <t>Kairav</t>
  </si>
  <si>
    <t>ID-00139</t>
  </si>
  <si>
    <t>Kevin</t>
  </si>
  <si>
    <t>ID-00140</t>
  </si>
  <si>
    <t>Laksh</t>
  </si>
  <si>
    <t>ID-00141</t>
  </si>
  <si>
    <t>Luv</t>
  </si>
  <si>
    <t>ID-00142</t>
  </si>
  <si>
    <t>Manan</t>
  </si>
  <si>
    <t>ID-00143</t>
  </si>
  <si>
    <t>Mohammad</t>
  </si>
  <si>
    <t>ID-00144</t>
  </si>
  <si>
    <t>Naksh</t>
  </si>
  <si>
    <t>ID-00145</t>
  </si>
  <si>
    <t>Nimit</t>
  </si>
  <si>
    <t>ID-00146</t>
  </si>
  <si>
    <t>Nirav</t>
  </si>
  <si>
    <t>ID-00147</t>
  </si>
  <si>
    <t>Pahal</t>
  </si>
  <si>
    <t>ID-00148</t>
  </si>
  <si>
    <t>Parv</t>
  </si>
  <si>
    <t>ID-00149</t>
  </si>
  <si>
    <t>Pranay</t>
  </si>
  <si>
    <t>ID-00150</t>
  </si>
  <si>
    <t>Rachit</t>
  </si>
  <si>
    <t>ID-00151</t>
  </si>
  <si>
    <t>Raj</t>
  </si>
  <si>
    <t>ID-00152</t>
  </si>
  <si>
    <t>Ranbir</t>
  </si>
  <si>
    <t>ID-00153</t>
  </si>
  <si>
    <t>Raunak</t>
  </si>
  <si>
    <t>ID-00154</t>
  </si>
  <si>
    <t>Reyansh</t>
  </si>
  <si>
    <t>ID-00155</t>
  </si>
  <si>
    <t>Rishaan</t>
  </si>
  <si>
    <t>ID-00156</t>
  </si>
  <si>
    <t>Rishit</t>
  </si>
  <si>
    <t>ID-00157</t>
  </si>
  <si>
    <t>Rohan</t>
  </si>
  <si>
    <t>ID-00158</t>
  </si>
  <si>
    <t>Rudra</t>
  </si>
  <si>
    <t>ID-00159</t>
  </si>
  <si>
    <t>Rushil</t>
  </si>
  <si>
    <t>ID-00160</t>
  </si>
  <si>
    <t>Sadhil</t>
  </si>
  <si>
    <t>ID-00161</t>
  </si>
  <si>
    <t>Sarthak</t>
  </si>
  <si>
    <t>ID-00162</t>
  </si>
  <si>
    <t>Taarush</t>
  </si>
  <si>
    <t>ID-00163</t>
  </si>
  <si>
    <t>Taksh</t>
  </si>
  <si>
    <t>ID-00164</t>
  </si>
  <si>
    <t>Ved</t>
  </si>
  <si>
    <t>ID-00165</t>
  </si>
  <si>
    <t>Vihaan</t>
  </si>
  <si>
    <t>ID-00166</t>
  </si>
  <si>
    <t>Vivaan</t>
  </si>
  <si>
    <t>ID-00167</t>
  </si>
  <si>
    <t>Yash</t>
  </si>
  <si>
    <t>ID-00168</t>
  </si>
  <si>
    <t>Yug</t>
  </si>
  <si>
    <t>ID-00169</t>
  </si>
  <si>
    <t>Zuber</t>
  </si>
  <si>
    <t>ID-00170</t>
  </si>
  <si>
    <t>ID-00171</t>
  </si>
  <si>
    <t>ID-00172</t>
  </si>
  <si>
    <t>ID-00173</t>
  </si>
  <si>
    <t>ID-00174</t>
  </si>
  <si>
    <t>ID-00175</t>
  </si>
  <si>
    <t>ID-00176</t>
  </si>
  <si>
    <t>ID-00177</t>
  </si>
  <si>
    <t>ID-00178</t>
  </si>
  <si>
    <t>ID-00179</t>
  </si>
  <si>
    <t>ID-00180</t>
  </si>
  <si>
    <t>ID-00181</t>
  </si>
  <si>
    <t>ID-00182</t>
  </si>
  <si>
    <t>ID-00183</t>
  </si>
  <si>
    <t>ID-00184</t>
  </si>
  <si>
    <t>ID-00185</t>
  </si>
  <si>
    <t>ID-00186</t>
  </si>
  <si>
    <t>ID-00187</t>
  </si>
  <si>
    <t>ID-00188</t>
  </si>
  <si>
    <t>ID-00189</t>
  </si>
  <si>
    <t>ID-00190</t>
  </si>
  <si>
    <t>ID-00191</t>
  </si>
  <si>
    <t>ID-00192</t>
  </si>
  <si>
    <t>ID-00193</t>
  </si>
  <si>
    <t>ID-00194</t>
  </si>
  <si>
    <t>ID-00195</t>
  </si>
  <si>
    <t>ID-00196</t>
  </si>
  <si>
    <t>ID-00197</t>
  </si>
  <si>
    <t>ID-00198</t>
  </si>
  <si>
    <t>ID-00199</t>
  </si>
  <si>
    <t>ID-00200</t>
  </si>
  <si>
    <t>ID-00201</t>
  </si>
  <si>
    <t>ID-00202</t>
  </si>
  <si>
    <t>ID-00203</t>
  </si>
  <si>
    <t>ID-00204</t>
  </si>
  <si>
    <t>ID-00205</t>
  </si>
  <si>
    <t>ID-00206</t>
  </si>
  <si>
    <t>ID-00207</t>
  </si>
  <si>
    <t>ID-00208</t>
  </si>
  <si>
    <t>ID-00209</t>
  </si>
  <si>
    <t>ID-00210</t>
  </si>
  <si>
    <t>ID-00211</t>
  </si>
  <si>
    <t>ID-00212</t>
  </si>
  <si>
    <t>ID-00213</t>
  </si>
  <si>
    <t>For median no. shuld be in ASC</t>
  </si>
  <si>
    <t>MODE=most occurring no. in dataset</t>
  </si>
  <si>
    <t xml:space="preserve">MEDIAN=middle number of dataset if odd /if even select mid 2 no/2 </t>
  </si>
  <si>
    <t>IF</t>
  </si>
  <si>
    <t>IF,NOT</t>
  </si>
  <si>
    <t>IF,AND</t>
  </si>
  <si>
    <t>IF,OR</t>
  </si>
  <si>
    <t>COUNTIF</t>
  </si>
  <si>
    <t>IFS</t>
  </si>
  <si>
    <t>COUNT</t>
  </si>
  <si>
    <t>SUM</t>
  </si>
  <si>
    <t>AVERAGE</t>
  </si>
  <si>
    <t>MEDIAN</t>
  </si>
  <si>
    <t>MAX</t>
  </si>
  <si>
    <t>MIN</t>
  </si>
  <si>
    <t>LARGE</t>
  </si>
  <si>
    <t>SMALL</t>
  </si>
  <si>
    <t>MODE.SNGL</t>
  </si>
  <si>
    <t>COUNTBLANK</t>
  </si>
  <si>
    <t>ALL IF</t>
  </si>
  <si>
    <t>ALL 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</si>
</sst>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Book Antiqua"/>
      <family val="1"/>
    </font>
    <font>
      <sz val="11"/>
      <name val="Calibri"/>
      <family val="2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14999847407452621"/>
        <bgColor rgb="FF44546A"/>
      </patternFill>
    </fill>
    <fill>
      <patternFill patternType="solid">
        <fgColor theme="3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6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6" fillId="0" borderId="0" xfId="0" applyFont="1" applyAlignment="1">
      <alignment horizontal="center"/>
    </xf>
    <xf numFmtId="0" fontId="0" fillId="0" borderId="0" xfId="0"/>
    <xf numFmtId="1" fontId="3" fillId="0" borderId="8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4" xfId="0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3" fillId="0" borderId="9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Border="1" applyAlignment="1">
      <alignment horizontal="center"/>
    </xf>
    <xf numFmtId="1" fontId="3" fillId="0" borderId="0" xfId="0" applyNumberFormat="1" applyFont="1" applyBorder="1"/>
    <xf numFmtId="0" fontId="3" fillId="0" borderId="0" xfId="0" applyFont="1" applyBorder="1"/>
    <xf numFmtId="0" fontId="3" fillId="0" borderId="9" xfId="0" applyFont="1" applyBorder="1"/>
    <xf numFmtId="0" fontId="6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/>
    <xf numFmtId="0" fontId="5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1002"/>
  <sheetViews>
    <sheetView tabSelected="1" zoomScale="88" zoomScaleNormal="88" workbookViewId="0">
      <selection activeCell="W18" sqref="W18"/>
    </sheetView>
  </sheetViews>
  <sheetFormatPr defaultColWidth="14.44140625" defaultRowHeight="15" customHeight="1" x14ac:dyDescent="0.3"/>
  <cols>
    <col min="1" max="4" width="11.109375" customWidth="1"/>
    <col min="5" max="5" width="18.33203125" customWidth="1"/>
    <col min="6" max="12" width="11.109375" customWidth="1"/>
    <col min="13" max="13" width="9.21875" bestFit="1" customWidth="1"/>
    <col min="14" max="15" width="11.109375" customWidth="1"/>
    <col min="16" max="16" width="17.6640625" bestFit="1" customWidth="1"/>
    <col min="17" max="17" width="17.6640625" style="38" customWidth="1"/>
    <col min="18" max="18" width="15.6640625" bestFit="1" customWidth="1"/>
    <col min="19" max="25" width="8.6640625" customWidth="1"/>
    <col min="26" max="26" width="11.21875" customWidth="1"/>
    <col min="27" max="30" width="8.6640625" customWidth="1"/>
  </cols>
  <sheetData>
    <row r="2" spans="1:32" ht="15" customHeight="1" x14ac:dyDescent="0.3">
      <c r="K2" s="41" t="s">
        <v>429</v>
      </c>
      <c r="L2" s="41" t="s">
        <v>430</v>
      </c>
      <c r="M2" s="41" t="s">
        <v>431</v>
      </c>
      <c r="N2" s="41" t="s">
        <v>432</v>
      </c>
      <c r="O2" s="41" t="s">
        <v>433</v>
      </c>
      <c r="P2" s="41" t="s">
        <v>434</v>
      </c>
      <c r="Q2" s="39"/>
    </row>
    <row r="3" spans="1:32" ht="14.25" customHeight="1" x14ac:dyDescent="0.3">
      <c r="A3" s="21" t="s">
        <v>0</v>
      </c>
      <c r="B3" s="21" t="s">
        <v>1</v>
      </c>
      <c r="C3" s="21" t="s">
        <v>2</v>
      </c>
      <c r="D3" s="21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  <c r="K3" s="21" t="s">
        <v>10</v>
      </c>
      <c r="L3" s="21" t="s">
        <v>11</v>
      </c>
      <c r="M3" s="21" t="s">
        <v>12</v>
      </c>
      <c r="N3" s="21" t="s">
        <v>13</v>
      </c>
      <c r="O3" s="21" t="s">
        <v>14</v>
      </c>
      <c r="P3" s="21" t="s">
        <v>15</v>
      </c>
      <c r="Q3" s="37"/>
      <c r="R3" s="1"/>
      <c r="S3" s="23" t="s">
        <v>16</v>
      </c>
      <c r="T3" s="24"/>
      <c r="U3" s="24"/>
      <c r="V3" s="25"/>
      <c r="W3" s="21" t="s">
        <v>17</v>
      </c>
      <c r="X3" s="37"/>
      <c r="Y3" s="2"/>
      <c r="Z3" s="21" t="s">
        <v>18</v>
      </c>
      <c r="AA3" s="21" t="s">
        <v>19</v>
      </c>
      <c r="AB3" s="21" t="s">
        <v>20</v>
      </c>
      <c r="AC3" s="21" t="s">
        <v>21</v>
      </c>
      <c r="AD3" s="21" t="s">
        <v>22</v>
      </c>
    </row>
    <row r="4" spans="1:32" ht="14.25" customHeight="1" x14ac:dyDescent="0.3">
      <c r="A4" s="3" t="s">
        <v>35</v>
      </c>
      <c r="B4" s="3" t="s">
        <v>36</v>
      </c>
      <c r="C4" s="3" t="s">
        <v>34</v>
      </c>
      <c r="D4" s="3" t="s">
        <v>31</v>
      </c>
      <c r="E4" s="4">
        <v>44854</v>
      </c>
      <c r="F4" s="5"/>
      <c r="G4" s="5"/>
      <c r="H4" s="5"/>
      <c r="I4" s="5"/>
      <c r="J4" s="6">
        <f>SUM(F4:I4)</f>
        <v>0</v>
      </c>
      <c r="K4" s="3" t="str">
        <f>IF(J4&gt;=25,"Qualified","Disqualified")</f>
        <v>Disqualified</v>
      </c>
      <c r="L4" s="3" t="str">
        <f>IF(NOT(J4=0),"Pass","Fail")</f>
        <v>Fail</v>
      </c>
      <c r="M4" s="3" t="str">
        <f t="array" ref="M4">IF(AND(F4:I4&gt;6,J4&gt;=25),"Pass","Fail")</f>
        <v>Fail</v>
      </c>
      <c r="N4" s="3" t="str">
        <f t="array" ref="N4">IF(OR(F4:I4&gt;6,J4&gt;=25),"Pass","Fail")</f>
        <v>Fail</v>
      </c>
      <c r="O4" s="3">
        <f>COUNTIF(F4:I4,"&gt;6")</f>
        <v>0</v>
      </c>
      <c r="P4" s="3" t="str">
        <f>_xlfn.IFS((J4&lt;20),"Need Improvement",(J4=20),"Good",(J4&gt;20),"Very Good",(J4&gt;30),"Excellent")</f>
        <v>Need Improvement</v>
      </c>
      <c r="Q4" s="40"/>
      <c r="R4" s="26" t="s">
        <v>435</v>
      </c>
      <c r="S4" s="15" t="s">
        <v>20</v>
      </c>
      <c r="T4" s="16"/>
      <c r="U4" s="16"/>
      <c r="V4" s="17"/>
      <c r="W4" s="7">
        <f>COUNT(J4:J216)</f>
        <v>213</v>
      </c>
      <c r="X4" s="32"/>
      <c r="Y4" s="2" t="s">
        <v>445</v>
      </c>
      <c r="Z4" s="8" t="s">
        <v>27</v>
      </c>
      <c r="AA4" s="8"/>
      <c r="AB4" s="8">
        <f>COUNTIF(K4:K216,Z4)</f>
        <v>155</v>
      </c>
      <c r="AC4" s="8">
        <f>SUMIF(K4:K216,Z4,J4:J216)</f>
        <v>4618</v>
      </c>
      <c r="AD4" s="8">
        <f>AVERAGEIF(K4:K216,Z4,J4:J216)</f>
        <v>29.793548387096774</v>
      </c>
    </row>
    <row r="5" spans="1:32" ht="14.25" customHeight="1" x14ac:dyDescent="0.3">
      <c r="A5" s="3" t="s">
        <v>45</v>
      </c>
      <c r="B5" s="3" t="s">
        <v>46</v>
      </c>
      <c r="C5" s="3" t="s">
        <v>30</v>
      </c>
      <c r="D5" s="3" t="s">
        <v>26</v>
      </c>
      <c r="E5" s="4">
        <v>44600</v>
      </c>
      <c r="F5" s="5"/>
      <c r="G5" s="5">
        <v>8</v>
      </c>
      <c r="H5" s="5">
        <v>4</v>
      </c>
      <c r="I5" s="5">
        <v>5</v>
      </c>
      <c r="J5" s="6">
        <f>SUM(F5:I5)</f>
        <v>17</v>
      </c>
      <c r="K5" s="3" t="str">
        <f>IF(J5&gt;=25,"Qualified","Disqualified")</f>
        <v>Disqualified</v>
      </c>
      <c r="L5" s="3" t="str">
        <f>IF(NOT(J5=0),"Pass","Fail")</f>
        <v>Pass</v>
      </c>
      <c r="M5" s="3" t="str">
        <f t="array" ref="M5">IF(AND(F5:I5&gt;6,J5&gt;=25),"Pass","Fail")</f>
        <v>Fail</v>
      </c>
      <c r="N5" s="3" t="str">
        <f t="array" ref="N5">IF(OR(F5:I5&gt;6,J5&gt;=25),"Pass","Fail")</f>
        <v>Pass</v>
      </c>
      <c r="O5" s="3">
        <f>COUNTIF(F5:I5,"&gt;6")</f>
        <v>1</v>
      </c>
      <c r="P5" s="3" t="str">
        <f>_xlfn.IFS((J5&lt;20),"Need Improvement",(J5=20),"Good",(J5&gt;20),"Very Good",(J5&gt;30),"Excellent")</f>
        <v>Need Improvement</v>
      </c>
      <c r="Q5" s="40"/>
      <c r="R5" s="26" t="s">
        <v>436</v>
      </c>
      <c r="S5" s="12" t="s">
        <v>21</v>
      </c>
      <c r="T5" s="13"/>
      <c r="U5" s="13"/>
      <c r="V5" s="14"/>
      <c r="W5" s="9">
        <f>SUM(J4:J216)</f>
        <v>5876</v>
      </c>
      <c r="X5" s="33"/>
      <c r="Y5" s="2" t="s">
        <v>446</v>
      </c>
      <c r="Z5" s="8" t="s">
        <v>27</v>
      </c>
      <c r="AA5" s="8" t="s">
        <v>25</v>
      </c>
      <c r="AB5" s="8">
        <f>COUNTIFS(K4:K216,Z5,C4:C216,AA5)</f>
        <v>60</v>
      </c>
      <c r="AC5" s="8">
        <f>SUMIFS(J4:J216,K4:K216,Z5,C4:C216,AA5)</f>
        <v>1777</v>
      </c>
      <c r="AD5" s="8">
        <f>AVERAGEIFS(J4:J216,K4:K216,Z5,C4:C216,AA5)</f>
        <v>29.616666666666667</v>
      </c>
    </row>
    <row r="6" spans="1:32" ht="14.25" customHeight="1" x14ac:dyDescent="0.3">
      <c r="A6" s="3" t="s">
        <v>207</v>
      </c>
      <c r="B6" s="3" t="s">
        <v>208</v>
      </c>
      <c r="C6" s="3" t="s">
        <v>25</v>
      </c>
      <c r="D6" s="3" t="s">
        <v>129</v>
      </c>
      <c r="E6" s="4">
        <v>44899</v>
      </c>
      <c r="F6" s="5"/>
      <c r="G6" s="5">
        <v>5</v>
      </c>
      <c r="H6" s="5">
        <v>6</v>
      </c>
      <c r="I6" s="5">
        <v>6</v>
      </c>
      <c r="J6" s="6">
        <f>SUM(F6:I6)</f>
        <v>17</v>
      </c>
      <c r="K6" s="3" t="str">
        <f>IF(J6&gt;=25,"Qualified","Disqualified")</f>
        <v>Disqualified</v>
      </c>
      <c r="L6" s="3" t="str">
        <f>IF(NOT(J6=0),"Pass","Fail")</f>
        <v>Pass</v>
      </c>
      <c r="M6" s="3" t="str">
        <f t="array" ref="M6">IF(AND(F6:I6&gt;6,J6&gt;=25),"Pass","Fail")</f>
        <v>Fail</v>
      </c>
      <c r="N6" s="3" t="str">
        <f t="array" ref="N6">IF(OR(F6:I6&gt;6,J6&gt;=25),"Pass","Fail")</f>
        <v>Fail</v>
      </c>
      <c r="O6" s="3">
        <f>COUNTIF(F6:I6,"&gt;6")</f>
        <v>0</v>
      </c>
      <c r="P6" s="3" t="str">
        <f>_xlfn.IFS((J6&lt;20),"Need Improvement",(J6=20),"Good",(J6&gt;20),"Very Good",(J6&gt;30),"Excellent")</f>
        <v>Need Improvement</v>
      </c>
      <c r="Q6" s="40"/>
      <c r="R6" s="26" t="s">
        <v>437</v>
      </c>
      <c r="S6" s="12" t="s">
        <v>22</v>
      </c>
      <c r="T6" s="13"/>
      <c r="U6" s="13"/>
      <c r="V6" s="14"/>
      <c r="W6" s="9">
        <f>AVERAGE(J4:J216)</f>
        <v>27.586854460093896</v>
      </c>
      <c r="X6" s="33"/>
      <c r="Y6" s="2"/>
      <c r="Z6" s="2"/>
      <c r="AA6" s="2"/>
      <c r="AB6" s="2"/>
      <c r="AC6" s="2"/>
      <c r="AD6" s="2"/>
    </row>
    <row r="7" spans="1:32" ht="14.25" customHeight="1" x14ac:dyDescent="0.3">
      <c r="A7" s="3" t="s">
        <v>292</v>
      </c>
      <c r="B7" s="3" t="s">
        <v>293</v>
      </c>
      <c r="C7" s="3" t="s">
        <v>25</v>
      </c>
      <c r="D7" s="3" t="s">
        <v>43</v>
      </c>
      <c r="E7" s="4">
        <v>44309</v>
      </c>
      <c r="F7" s="5"/>
      <c r="G7" s="5">
        <v>6</v>
      </c>
      <c r="H7" s="5">
        <v>4</v>
      </c>
      <c r="I7" s="5">
        <v>7</v>
      </c>
      <c r="J7" s="6">
        <f>SUM(F7:I7)</f>
        <v>17</v>
      </c>
      <c r="K7" s="3" t="str">
        <f>IF(J7&gt;=25,"Qualified","Disqualified")</f>
        <v>Disqualified</v>
      </c>
      <c r="L7" s="3" t="str">
        <f>IF(NOT(J7=0),"Pass","Fail")</f>
        <v>Pass</v>
      </c>
      <c r="M7" s="3" t="str">
        <f t="array" ref="M7">IF(AND(F7:I7&gt;6,J7&gt;=25),"Pass","Fail")</f>
        <v>Fail</v>
      </c>
      <c r="N7" s="3" t="str">
        <f t="array" ref="N7">IF(OR(F7:I7&gt;6,J7&gt;=25),"Pass","Fail")</f>
        <v>Pass</v>
      </c>
      <c r="O7" s="3">
        <f>COUNTIF(F7:I7,"&gt;6")</f>
        <v>1</v>
      </c>
      <c r="P7" s="3" t="str">
        <f>_xlfn.IFS((J7&lt;20),"Need Improvement",(J7=20),"Good",(J7&gt;20),"Very Good",(J7&gt;30),"Excellent")</f>
        <v>Need Improvement</v>
      </c>
      <c r="Q7" s="40"/>
      <c r="R7" s="26" t="s">
        <v>438</v>
      </c>
      <c r="S7" s="12" t="s">
        <v>37</v>
      </c>
      <c r="T7" s="13"/>
      <c r="U7" s="13"/>
      <c r="V7" s="14"/>
      <c r="W7" s="9">
        <f>MEDIAN(J4:J216)</f>
        <v>28</v>
      </c>
      <c r="X7" s="33"/>
      <c r="Y7" s="2"/>
      <c r="Z7" s="27" t="s">
        <v>428</v>
      </c>
      <c r="AA7" s="27"/>
      <c r="AB7" s="27"/>
      <c r="AC7" s="27"/>
      <c r="AD7" s="27"/>
      <c r="AE7" s="28"/>
      <c r="AF7" s="28"/>
    </row>
    <row r="8" spans="1:32" ht="14.25" customHeight="1" x14ac:dyDescent="0.3">
      <c r="A8" s="3" t="s">
        <v>72</v>
      </c>
      <c r="B8" s="3" t="s">
        <v>73</v>
      </c>
      <c r="C8" s="3" t="s">
        <v>69</v>
      </c>
      <c r="D8" s="3" t="s">
        <v>26</v>
      </c>
      <c r="E8" s="4">
        <v>44523</v>
      </c>
      <c r="F8" s="5">
        <v>6</v>
      </c>
      <c r="G8" s="5">
        <v>4</v>
      </c>
      <c r="H8" s="5">
        <v>4</v>
      </c>
      <c r="I8" s="5">
        <v>4</v>
      </c>
      <c r="J8" s="6">
        <f>SUM(F8:I8)</f>
        <v>18</v>
      </c>
      <c r="K8" s="3" t="str">
        <f>IF(J8&gt;=25,"Qualified","Disqualified")</f>
        <v>Disqualified</v>
      </c>
      <c r="L8" s="3" t="str">
        <f>IF(NOT(J8=0),"Pass","Fail")</f>
        <v>Pass</v>
      </c>
      <c r="M8" s="3" t="str">
        <f t="array" ref="M8">IF(AND(F8:I8&gt;6,J8&gt;=25),"Pass","Fail")</f>
        <v>Fail</v>
      </c>
      <c r="N8" s="3" t="str">
        <f t="array" ref="N8">IF(OR(F8:I8&gt;6,J8&gt;=25),"Pass","Fail")</f>
        <v>Fail</v>
      </c>
      <c r="O8" s="3">
        <f>COUNTIF(F8:I8,"&gt;6")</f>
        <v>0</v>
      </c>
      <c r="P8" s="3" t="str">
        <f>_xlfn.IFS((J8&lt;20),"Need Improvement",(J8=20),"Good",(J8&gt;20),"Very Good",(J8&gt;30),"Excellent")</f>
        <v>Need Improvement</v>
      </c>
      <c r="Q8" s="40"/>
      <c r="R8" s="26" t="s">
        <v>440</v>
      </c>
      <c r="S8" s="15" t="s">
        <v>40</v>
      </c>
      <c r="T8" s="16"/>
      <c r="U8" s="16"/>
      <c r="V8" s="17"/>
      <c r="W8" s="9">
        <f>MIN(J4:J216)</f>
        <v>0</v>
      </c>
      <c r="X8" s="33"/>
      <c r="Y8" s="10"/>
      <c r="Z8" s="29" t="s">
        <v>426</v>
      </c>
      <c r="AA8" s="28"/>
      <c r="AB8" s="28"/>
      <c r="AC8" s="28"/>
      <c r="AD8" s="27"/>
      <c r="AE8" s="28"/>
      <c r="AF8" s="28"/>
    </row>
    <row r="9" spans="1:32" ht="14.25" customHeight="1" x14ac:dyDescent="0.3">
      <c r="A9" s="3" t="s">
        <v>153</v>
      </c>
      <c r="B9" s="3" t="s">
        <v>154</v>
      </c>
      <c r="C9" s="3" t="s">
        <v>60</v>
      </c>
      <c r="D9" s="3" t="s">
        <v>56</v>
      </c>
      <c r="E9" s="4">
        <v>44802</v>
      </c>
      <c r="F9" s="5">
        <v>4</v>
      </c>
      <c r="G9" s="5">
        <v>4</v>
      </c>
      <c r="H9" s="5">
        <v>5</v>
      </c>
      <c r="I9" s="5">
        <v>5</v>
      </c>
      <c r="J9" s="6">
        <f>SUM(F9:I9)</f>
        <v>18</v>
      </c>
      <c r="K9" s="3" t="str">
        <f>IF(J9&gt;=25,"Qualified","Disqualified")</f>
        <v>Disqualified</v>
      </c>
      <c r="L9" s="3" t="str">
        <f>IF(NOT(J9=0),"Pass","Fail")</f>
        <v>Pass</v>
      </c>
      <c r="M9" s="3" t="str">
        <f t="array" ref="M9">IF(AND(F9:I9&gt;6,J9&gt;=25),"Pass","Fail")</f>
        <v>Fail</v>
      </c>
      <c r="N9" s="3" t="str">
        <f t="array" ref="N9">IF(OR(F9:I9&gt;6,J9&gt;=25),"Pass","Fail")</f>
        <v>Fail</v>
      </c>
      <c r="O9" s="3">
        <f>COUNTIF(F9:I9,"&gt;6")</f>
        <v>0</v>
      </c>
      <c r="P9" s="3" t="str">
        <f>_xlfn.IFS((J9&lt;20),"Need Improvement",(J9=20),"Good",(J9&gt;20),"Very Good",(J9&gt;30),"Excellent")</f>
        <v>Need Improvement</v>
      </c>
      <c r="Q9" s="40"/>
      <c r="R9" s="26" t="s">
        <v>439</v>
      </c>
      <c r="S9" s="15" t="s">
        <v>44</v>
      </c>
      <c r="T9" s="16"/>
      <c r="U9" s="16"/>
      <c r="V9" s="17"/>
      <c r="W9" s="20">
        <f>MAX(J4:J216)</f>
        <v>39</v>
      </c>
      <c r="X9" s="33"/>
      <c r="Y9" s="10"/>
      <c r="Z9" s="2"/>
      <c r="AA9" s="2"/>
      <c r="AB9" s="2"/>
      <c r="AC9" s="2"/>
      <c r="AD9" s="2"/>
    </row>
    <row r="10" spans="1:32" ht="14.25" customHeight="1" x14ac:dyDescent="0.3">
      <c r="A10" s="3" t="s">
        <v>245</v>
      </c>
      <c r="B10" s="3" t="s">
        <v>246</v>
      </c>
      <c r="C10" s="3" t="s">
        <v>25</v>
      </c>
      <c r="D10" s="3" t="s">
        <v>96</v>
      </c>
      <c r="E10" s="4">
        <v>44709</v>
      </c>
      <c r="F10" s="5"/>
      <c r="G10" s="5">
        <v>4</v>
      </c>
      <c r="H10" s="5">
        <v>4</v>
      </c>
      <c r="I10" s="5">
        <v>10</v>
      </c>
      <c r="J10" s="6">
        <f>SUM(F10:I10)</f>
        <v>18</v>
      </c>
      <c r="K10" s="3" t="str">
        <f>IF(J10&gt;=25,"Qualified","Disqualified")</f>
        <v>Disqualified</v>
      </c>
      <c r="L10" s="3" t="str">
        <f>IF(NOT(J10=0),"Pass","Fail")</f>
        <v>Pass</v>
      </c>
      <c r="M10" s="3" t="str">
        <f t="array" ref="M10">IF(AND(F10:I10&gt;6,J10&gt;=25),"Pass","Fail")</f>
        <v>Fail</v>
      </c>
      <c r="N10" s="3" t="str">
        <f t="array" ref="N10">IF(OR(F10:I10&gt;6,J10&gt;=25),"Pass","Fail")</f>
        <v>Pass</v>
      </c>
      <c r="O10" s="3">
        <f>COUNTIF(F10:I10,"&gt;6")</f>
        <v>1</v>
      </c>
      <c r="P10" s="3" t="str">
        <f>_xlfn.IFS((J10&lt;20),"Need Improvement",(J10=20),"Good",(J10&gt;20),"Very Good",(J10&gt;30),"Excellent")</f>
        <v>Need Improvement</v>
      </c>
      <c r="Q10" s="40"/>
      <c r="R10" s="26" t="s">
        <v>441</v>
      </c>
      <c r="S10" s="12" t="s">
        <v>47</v>
      </c>
      <c r="T10" s="13"/>
      <c r="U10" s="13"/>
      <c r="V10" s="14"/>
      <c r="W10" s="8">
        <f>LARGE(J4:J216,2)</f>
        <v>38</v>
      </c>
      <c r="X10" s="34"/>
      <c r="Y10" s="10"/>
      <c r="Z10" s="10"/>
      <c r="AA10" s="10"/>
      <c r="AB10" s="10"/>
      <c r="AC10" s="2"/>
      <c r="AD10" s="2"/>
    </row>
    <row r="11" spans="1:32" ht="14.25" customHeight="1" x14ac:dyDescent="0.3">
      <c r="A11" s="3" t="s">
        <v>423</v>
      </c>
      <c r="B11" s="3" t="s">
        <v>260</v>
      </c>
      <c r="C11" s="3" t="s">
        <v>25</v>
      </c>
      <c r="D11" s="3" t="s">
        <v>50</v>
      </c>
      <c r="E11" s="4">
        <v>44832</v>
      </c>
      <c r="F11" s="5">
        <v>5</v>
      </c>
      <c r="G11" s="5">
        <v>5</v>
      </c>
      <c r="H11" s="5">
        <v>4</v>
      </c>
      <c r="I11" s="5">
        <v>4</v>
      </c>
      <c r="J11" s="6">
        <f>SUM(F11:I11)</f>
        <v>18</v>
      </c>
      <c r="K11" s="3" t="str">
        <f>IF(J11&gt;=25,"Qualified","Disqualified")</f>
        <v>Disqualified</v>
      </c>
      <c r="L11" s="3" t="str">
        <f>IF(NOT(J11=0),"Pass","Fail")</f>
        <v>Pass</v>
      </c>
      <c r="M11" s="3" t="str">
        <f t="array" ref="M11">IF(AND(F11:I11&gt;6,J11&gt;=25),"Pass","Fail")</f>
        <v>Fail</v>
      </c>
      <c r="N11" s="3" t="str">
        <f t="array" ref="N11">IF(OR(F11:I11&gt;6,J11&gt;=25),"Pass","Fail")</f>
        <v>Fail</v>
      </c>
      <c r="O11" s="3">
        <f>COUNTIF(F11:I11,"&gt;6")</f>
        <v>0</v>
      </c>
      <c r="P11" s="3" t="str">
        <f>_xlfn.IFS((J11&lt;20),"Need Improvement",(J11=20),"Good",(J11&gt;20),"Very Good",(J11&gt;30),"Excellent")</f>
        <v>Need Improvement</v>
      </c>
      <c r="Q11" s="40"/>
      <c r="R11" s="26" t="s">
        <v>442</v>
      </c>
      <c r="S11" s="12" t="s">
        <v>51</v>
      </c>
      <c r="T11" s="13"/>
      <c r="U11" s="13"/>
      <c r="V11" s="14"/>
      <c r="W11" s="8">
        <f>SMALL(J4:J216,3)</f>
        <v>17</v>
      </c>
      <c r="X11" s="34"/>
      <c r="Y11" s="10"/>
      <c r="Z11" s="10"/>
      <c r="AA11" s="10"/>
      <c r="AB11" s="10"/>
      <c r="AC11" s="2"/>
      <c r="AD11" s="2"/>
    </row>
    <row r="12" spans="1:32" ht="14.25" customHeight="1" x14ac:dyDescent="0.3">
      <c r="A12" s="3" t="s">
        <v>78</v>
      </c>
      <c r="B12" s="3" t="s">
        <v>79</v>
      </c>
      <c r="C12" s="3" t="s">
        <v>60</v>
      </c>
      <c r="D12" s="3" t="s">
        <v>31</v>
      </c>
      <c r="E12" s="4">
        <v>44931</v>
      </c>
      <c r="F12" s="5">
        <v>4</v>
      </c>
      <c r="G12" s="5">
        <v>4</v>
      </c>
      <c r="H12" s="5">
        <v>4</v>
      </c>
      <c r="I12" s="5">
        <v>7</v>
      </c>
      <c r="J12" s="6">
        <f>SUM(F12:I12)</f>
        <v>19</v>
      </c>
      <c r="K12" s="3" t="str">
        <f>IF(J12&gt;=25,"Qualified","Disqualified")</f>
        <v>Disqualified</v>
      </c>
      <c r="L12" s="3" t="str">
        <f>IF(NOT(J12=0),"Pass","Fail")</f>
        <v>Pass</v>
      </c>
      <c r="M12" s="3" t="str">
        <f t="array" ref="M12">IF(AND(F12:I12&gt;6,J12&gt;=25),"Pass","Fail")</f>
        <v>Fail</v>
      </c>
      <c r="N12" s="3" t="str">
        <f t="array" ref="N12">IF(OR(F12:I12&gt;6,J12&gt;=25),"Pass","Fail")</f>
        <v>Pass</v>
      </c>
      <c r="O12" s="3">
        <f>COUNTIF(F12:I12,"&gt;6")</f>
        <v>1</v>
      </c>
      <c r="P12" s="3" t="str">
        <f>_xlfn.IFS((J12&lt;20),"Need Improvement",(J12=20),"Good",(J12&gt;20),"Very Good",(J12&gt;30),"Excellent")</f>
        <v>Need Improvement</v>
      </c>
      <c r="Q12" s="40"/>
      <c r="R12" s="26" t="s">
        <v>443</v>
      </c>
      <c r="S12" s="12" t="s">
        <v>54</v>
      </c>
      <c r="T12" s="13"/>
      <c r="U12" s="13"/>
      <c r="V12" s="14"/>
      <c r="W12" s="8">
        <f>_xlfn.MODE.SNGL(J4:J216)</f>
        <v>27</v>
      </c>
      <c r="X12" s="35"/>
      <c r="Y12" s="30" t="s">
        <v>427</v>
      </c>
      <c r="Z12" s="31"/>
      <c r="AA12" s="31"/>
      <c r="AB12" s="31"/>
      <c r="AC12" s="31"/>
      <c r="AD12" s="2"/>
    </row>
    <row r="13" spans="1:32" ht="14.25" customHeight="1" x14ac:dyDescent="0.3">
      <c r="A13" s="3" t="s">
        <v>139</v>
      </c>
      <c r="B13" s="3" t="s">
        <v>140</v>
      </c>
      <c r="C13" s="3" t="s">
        <v>136</v>
      </c>
      <c r="D13" s="3" t="s">
        <v>129</v>
      </c>
      <c r="E13" s="4">
        <v>44472</v>
      </c>
      <c r="F13" s="5">
        <v>4</v>
      </c>
      <c r="G13" s="5">
        <v>5</v>
      </c>
      <c r="H13" s="5">
        <v>5</v>
      </c>
      <c r="I13" s="5">
        <v>6</v>
      </c>
      <c r="J13" s="6">
        <f>SUM(F13:I13)</f>
        <v>20</v>
      </c>
      <c r="K13" s="3" t="str">
        <f>IF(J13&gt;=25,"Qualified","Disqualified")</f>
        <v>Disqualified</v>
      </c>
      <c r="L13" s="3" t="str">
        <f>IF(NOT(J13=0),"Pass","Fail")</f>
        <v>Pass</v>
      </c>
      <c r="M13" s="3" t="str">
        <f t="array" ref="M13">IF(AND(F13:I13&gt;6,J13&gt;=25),"Pass","Fail")</f>
        <v>Fail</v>
      </c>
      <c r="N13" s="3" t="str">
        <f t="array" ref="N13">IF(OR(F13:I13&gt;6,J13&gt;=25),"Pass","Fail")</f>
        <v>Fail</v>
      </c>
      <c r="O13" s="3">
        <f>COUNTIF(F13:I13,"&gt;6")</f>
        <v>0</v>
      </c>
      <c r="P13" s="3" t="str">
        <f>_xlfn.IFS((J13&lt;20),"Need Improvement",(J13=20),"Good",(J13&gt;20),"Very Good",(J13&gt;30),"Excellent")</f>
        <v>Good</v>
      </c>
      <c r="Q13" s="40"/>
      <c r="R13" s="26" t="s">
        <v>433</v>
      </c>
      <c r="S13" s="12" t="s">
        <v>57</v>
      </c>
      <c r="T13" s="13"/>
      <c r="U13" s="13"/>
      <c r="V13" s="14"/>
      <c r="W13" s="8">
        <f>COUNTIF(J4:J216,W12)</f>
        <v>21</v>
      </c>
      <c r="X13" s="34"/>
      <c r="Y13" s="10"/>
      <c r="Z13" s="2"/>
      <c r="AA13" s="2"/>
      <c r="AB13" s="2"/>
      <c r="AC13" s="2"/>
      <c r="AD13" s="2"/>
    </row>
    <row r="14" spans="1:32" ht="14.25" customHeight="1" x14ac:dyDescent="0.3">
      <c r="A14" s="3" t="s">
        <v>205</v>
      </c>
      <c r="B14" s="3" t="s">
        <v>206</v>
      </c>
      <c r="C14" s="3" t="s">
        <v>25</v>
      </c>
      <c r="D14" s="3" t="s">
        <v>26</v>
      </c>
      <c r="E14" s="4">
        <v>44502</v>
      </c>
      <c r="F14" s="5"/>
      <c r="G14" s="5">
        <v>7</v>
      </c>
      <c r="H14" s="5">
        <v>4</v>
      </c>
      <c r="I14" s="5">
        <v>9</v>
      </c>
      <c r="J14" s="6">
        <f>SUM(F14:I14)</f>
        <v>20</v>
      </c>
      <c r="K14" s="3" t="str">
        <f>IF(J14&gt;=25,"Qualified","Disqualified")</f>
        <v>Disqualified</v>
      </c>
      <c r="L14" s="3" t="str">
        <f>IF(NOT(J14=0),"Pass","Fail")</f>
        <v>Pass</v>
      </c>
      <c r="M14" s="3" t="str">
        <f t="array" ref="M14">IF(AND(F14:I14&gt;6,J14&gt;=25),"Pass","Fail")</f>
        <v>Fail</v>
      </c>
      <c r="N14" s="3" t="str">
        <f t="array" ref="N14">IF(OR(F14:I14&gt;6,J14&gt;=25),"Pass","Fail")</f>
        <v>Pass</v>
      </c>
      <c r="O14" s="3">
        <f>COUNTIF(F14:I14,"&gt;6")</f>
        <v>2</v>
      </c>
      <c r="P14" s="3" t="str">
        <f>_xlfn.IFS((J14&lt;20),"Need Improvement",(J14=20),"Good",(J14&gt;20),"Very Good",(J14&gt;30),"Excellent")</f>
        <v>Good</v>
      </c>
      <c r="Q14" s="40"/>
      <c r="R14" s="26" t="s">
        <v>435</v>
      </c>
      <c r="S14" s="15" t="s">
        <v>61</v>
      </c>
      <c r="T14" s="16"/>
      <c r="U14" s="16"/>
      <c r="V14" s="17"/>
      <c r="W14" s="11">
        <f>COUNT(B4:B216)</f>
        <v>0</v>
      </c>
      <c r="X14" s="36"/>
      <c r="Y14" s="10"/>
      <c r="Z14" s="2"/>
      <c r="AA14" s="2"/>
      <c r="AB14" s="2"/>
      <c r="AC14" s="2"/>
      <c r="AD14" s="2"/>
    </row>
    <row r="15" spans="1:32" ht="14.25" customHeight="1" x14ac:dyDescent="0.3">
      <c r="A15" s="3" t="s">
        <v>312</v>
      </c>
      <c r="B15" s="3" t="s">
        <v>313</v>
      </c>
      <c r="C15" s="3" t="s">
        <v>69</v>
      </c>
      <c r="D15" s="3" t="s">
        <v>31</v>
      </c>
      <c r="E15" s="4">
        <v>44714</v>
      </c>
      <c r="F15" s="5">
        <v>8</v>
      </c>
      <c r="G15" s="5">
        <v>4</v>
      </c>
      <c r="H15" s="5">
        <v>4</v>
      </c>
      <c r="I15" s="5">
        <v>4</v>
      </c>
      <c r="J15" s="6">
        <f>SUM(F15:I15)</f>
        <v>20</v>
      </c>
      <c r="K15" s="3" t="str">
        <f>IF(J15&gt;=25,"Qualified","Disqualified")</f>
        <v>Disqualified</v>
      </c>
      <c r="L15" s="3" t="str">
        <f>IF(NOT(J15=0),"Pass","Fail")</f>
        <v>Pass</v>
      </c>
      <c r="M15" s="3" t="str">
        <f t="array" ref="M15">IF(AND(F15:I15&gt;6,J15&gt;=25),"Pass","Fail")</f>
        <v>Fail</v>
      </c>
      <c r="N15" s="3" t="str">
        <f t="array" ref="N15">IF(OR(F15:I15&gt;6,J15&gt;=25),"Pass","Fail")</f>
        <v>Pass</v>
      </c>
      <c r="O15" s="3">
        <f>COUNTIF(F15:I15,"&gt;6")</f>
        <v>1</v>
      </c>
      <c r="P15" s="3" t="str">
        <f>_xlfn.IFS((J15&lt;20),"Need Improvement",(J15=20),"Good",(J15&gt;20),"Very Good",(J15&gt;30),"Excellent")</f>
        <v>Good</v>
      </c>
      <c r="Q15" s="40"/>
      <c r="R15" s="26" t="s">
        <v>444</v>
      </c>
      <c r="S15" s="15" t="s">
        <v>64</v>
      </c>
      <c r="T15" s="16"/>
      <c r="U15" s="16"/>
      <c r="V15" s="17"/>
      <c r="W15" s="11">
        <f>COUNTBLANK(A4:P216)</f>
        <v>23</v>
      </c>
      <c r="X15" s="36"/>
      <c r="Y15" s="10"/>
      <c r="Z15" s="2"/>
      <c r="AA15" s="2"/>
      <c r="AB15" s="2"/>
      <c r="AC15" s="2"/>
      <c r="AD15" s="2"/>
    </row>
    <row r="16" spans="1:32" ht="14.25" customHeight="1" x14ac:dyDescent="0.3">
      <c r="A16" s="3" t="s">
        <v>334</v>
      </c>
      <c r="B16" s="3" t="s">
        <v>335</v>
      </c>
      <c r="C16" s="3" t="s">
        <v>25</v>
      </c>
      <c r="D16" s="3" t="s">
        <v>50</v>
      </c>
      <c r="E16" s="4">
        <v>44356</v>
      </c>
      <c r="F16" s="5"/>
      <c r="G16" s="5">
        <v>9</v>
      </c>
      <c r="H16" s="5">
        <v>5</v>
      </c>
      <c r="I16" s="5">
        <v>6</v>
      </c>
      <c r="J16" s="6">
        <f>SUM(F16:I16)</f>
        <v>20</v>
      </c>
      <c r="K16" s="3" t="str">
        <f>IF(J16&gt;=25,"Qualified","Disqualified")</f>
        <v>Disqualified</v>
      </c>
      <c r="L16" s="3" t="str">
        <f>IF(NOT(J16=0),"Pass","Fail")</f>
        <v>Pass</v>
      </c>
      <c r="M16" s="3" t="str">
        <f t="array" ref="M16">IF(AND(F16:I16&gt;6,J16&gt;=25),"Pass","Fail")</f>
        <v>Fail</v>
      </c>
      <c r="N16" s="3" t="str">
        <f t="array" ref="N16">IF(OR(F16:I16&gt;6,J16&gt;=25),"Pass","Fail")</f>
        <v>Pass</v>
      </c>
      <c r="O16" s="3">
        <f>COUNTIF(F16:I16,"&gt;6")</f>
        <v>1</v>
      </c>
      <c r="P16" s="3" t="str">
        <f>_xlfn.IFS((J16&lt;20),"Need Improvement",(J16=20),"Good",(J16&gt;20),"Very Good",(J16&gt;30),"Excellent")</f>
        <v>Good</v>
      </c>
      <c r="Q16" s="40"/>
      <c r="R16" s="1"/>
      <c r="S16" s="10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 x14ac:dyDescent="0.3">
      <c r="A17" s="3" t="s">
        <v>141</v>
      </c>
      <c r="B17" s="3" t="s">
        <v>142</v>
      </c>
      <c r="C17" s="3" t="s">
        <v>136</v>
      </c>
      <c r="D17" s="3" t="s">
        <v>31</v>
      </c>
      <c r="E17" s="4">
        <v>44301</v>
      </c>
      <c r="F17" s="5">
        <v>6</v>
      </c>
      <c r="G17" s="5">
        <v>6</v>
      </c>
      <c r="H17" s="5">
        <v>4</v>
      </c>
      <c r="I17" s="5">
        <v>5</v>
      </c>
      <c r="J17" s="6">
        <f>SUM(F17:I17)</f>
        <v>21</v>
      </c>
      <c r="K17" s="3" t="str">
        <f>IF(J17&gt;=25,"Qualified","Disqualified")</f>
        <v>Disqualified</v>
      </c>
      <c r="L17" s="3" t="str">
        <f>IF(NOT(J17=0),"Pass","Fail")</f>
        <v>Pass</v>
      </c>
      <c r="M17" s="3" t="str">
        <f t="array" ref="M17">IF(AND(F17:I17&gt;6,J17&gt;=25),"Pass","Fail")</f>
        <v>Fail</v>
      </c>
      <c r="N17" s="3" t="str">
        <f t="array" ref="N17">IF(OR(F17:I17&gt;6,J17&gt;=25),"Pass","Fail")</f>
        <v>Fail</v>
      </c>
      <c r="O17" s="3">
        <f>COUNTIF(F17:I17,"&gt;6")</f>
        <v>0</v>
      </c>
      <c r="P17" s="3" t="str">
        <f>_xlfn.IFS((J17&lt;20),"Need Improvement",(J17=20),"Good",(J17&gt;20),"Very Good",(J17&gt;30),"Excellent")</f>
        <v>Very Good</v>
      </c>
      <c r="Q17" s="40"/>
      <c r="R17" s="1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 x14ac:dyDescent="0.3">
      <c r="A18" s="3" t="s">
        <v>239</v>
      </c>
      <c r="B18" s="3" t="s">
        <v>240</v>
      </c>
      <c r="C18" s="3" t="s">
        <v>25</v>
      </c>
      <c r="D18" s="3" t="s">
        <v>26</v>
      </c>
      <c r="E18" s="4">
        <v>44355</v>
      </c>
      <c r="F18" s="5"/>
      <c r="G18" s="5">
        <v>7</v>
      </c>
      <c r="H18" s="5">
        <v>5</v>
      </c>
      <c r="I18" s="5">
        <v>9</v>
      </c>
      <c r="J18" s="6">
        <f>SUM(F18:I18)</f>
        <v>21</v>
      </c>
      <c r="K18" s="3" t="str">
        <f>IF(J18&gt;=25,"Qualified","Disqualified")</f>
        <v>Disqualified</v>
      </c>
      <c r="L18" s="3" t="str">
        <f>IF(NOT(J18=0),"Pass","Fail")</f>
        <v>Pass</v>
      </c>
      <c r="M18" s="3" t="str">
        <f t="array" ref="M18">IF(AND(F18:I18&gt;6,J18&gt;=25),"Pass","Fail")</f>
        <v>Fail</v>
      </c>
      <c r="N18" s="3" t="str">
        <f t="array" ref="N18">IF(OR(F18:I18&gt;6,J18&gt;=25),"Pass","Fail")</f>
        <v>Pass</v>
      </c>
      <c r="O18" s="3">
        <f>COUNTIF(F18:I18,"&gt;6")</f>
        <v>2</v>
      </c>
      <c r="P18" s="3" t="str">
        <f>_xlfn.IFS((J18&lt;20),"Need Improvement",(J18=20),"Good",(J18&gt;20),"Very Good",(J18&gt;30),"Excellent")</f>
        <v>Very Good</v>
      </c>
      <c r="Q18" s="40"/>
      <c r="R18" s="1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 x14ac:dyDescent="0.3">
      <c r="A19" s="3" t="s">
        <v>340</v>
      </c>
      <c r="B19" s="3" t="s">
        <v>341</v>
      </c>
      <c r="C19" s="3" t="s">
        <v>25</v>
      </c>
      <c r="D19" s="3" t="s">
        <v>129</v>
      </c>
      <c r="E19" s="4">
        <v>44843</v>
      </c>
      <c r="F19" s="5">
        <v>4</v>
      </c>
      <c r="G19" s="5">
        <v>5</v>
      </c>
      <c r="H19" s="5">
        <v>4</v>
      </c>
      <c r="I19" s="5">
        <v>8</v>
      </c>
      <c r="J19" s="6">
        <f>SUM(F19:I19)</f>
        <v>21</v>
      </c>
      <c r="K19" s="3" t="str">
        <f>IF(J19&gt;=25,"Qualified","Disqualified")</f>
        <v>Disqualified</v>
      </c>
      <c r="L19" s="3" t="str">
        <f>IF(NOT(J19=0),"Pass","Fail")</f>
        <v>Pass</v>
      </c>
      <c r="M19" s="3" t="str">
        <f t="array" ref="M19">IF(AND(F19:I19&gt;6,J19&gt;=25),"Pass","Fail")</f>
        <v>Fail</v>
      </c>
      <c r="N19" s="3" t="str">
        <f t="array" ref="N19">IF(OR(F19:I19&gt;6,J19&gt;=25),"Pass","Fail")</f>
        <v>Pass</v>
      </c>
      <c r="O19" s="3">
        <f>COUNTIF(F19:I19,"&gt;6")</f>
        <v>1</v>
      </c>
      <c r="P19" s="3" t="str">
        <f>_xlfn.IFS((J19&lt;20),"Need Improvement",(J19=20),"Good",(J19&gt;20),"Very Good",(J19&gt;30),"Excellent")</f>
        <v>Very Good</v>
      </c>
      <c r="Q19" s="40"/>
      <c r="R19" s="1"/>
      <c r="S19" s="10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 x14ac:dyDescent="0.3">
      <c r="A20" s="3" t="s">
        <v>400</v>
      </c>
      <c r="B20" s="3" t="s">
        <v>214</v>
      </c>
      <c r="C20" s="3" t="s">
        <v>25</v>
      </c>
      <c r="D20" s="3" t="s">
        <v>129</v>
      </c>
      <c r="E20" s="4">
        <v>44325</v>
      </c>
      <c r="F20" s="5"/>
      <c r="G20" s="5">
        <v>8</v>
      </c>
      <c r="H20" s="5">
        <v>4</v>
      </c>
      <c r="I20" s="5">
        <v>9</v>
      </c>
      <c r="J20" s="6">
        <f>SUM(F20:I20)</f>
        <v>21</v>
      </c>
      <c r="K20" s="3" t="str">
        <f>IF(J20&gt;=25,"Qualified","Disqualified")</f>
        <v>Disqualified</v>
      </c>
      <c r="L20" s="3" t="str">
        <f>IF(NOT(J20=0),"Pass","Fail")</f>
        <v>Pass</v>
      </c>
      <c r="M20" s="3" t="str">
        <f t="array" ref="M20">IF(AND(F20:I20&gt;6,J20&gt;=25),"Pass","Fail")</f>
        <v>Fail</v>
      </c>
      <c r="N20" s="3" t="str">
        <f t="array" ref="N20">IF(OR(F20:I20&gt;6,J20&gt;=25),"Pass","Fail")</f>
        <v>Pass</v>
      </c>
      <c r="O20" s="3">
        <f>COUNTIF(F20:I20,"&gt;6")</f>
        <v>2</v>
      </c>
      <c r="P20" s="3" t="str">
        <f>_xlfn.IFS((J20&lt;20),"Need Improvement",(J20=20),"Good",(J20&gt;20),"Very Good",(J20&gt;30),"Excellent")</f>
        <v>Very Good</v>
      </c>
      <c r="Q20" s="40"/>
      <c r="R20" s="1"/>
      <c r="S20" s="10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 x14ac:dyDescent="0.3">
      <c r="A21" s="3" t="s">
        <v>418</v>
      </c>
      <c r="B21" s="3" t="s">
        <v>250</v>
      </c>
      <c r="C21" s="3" t="s">
        <v>25</v>
      </c>
      <c r="D21" s="3" t="s">
        <v>96</v>
      </c>
      <c r="E21" s="4">
        <v>44513</v>
      </c>
      <c r="F21" s="5"/>
      <c r="G21" s="5">
        <v>9</v>
      </c>
      <c r="H21" s="5">
        <v>7</v>
      </c>
      <c r="I21" s="5">
        <v>5</v>
      </c>
      <c r="J21" s="6">
        <f>SUM(F21:I21)</f>
        <v>21</v>
      </c>
      <c r="K21" s="3" t="str">
        <f>IF(J21&gt;=25,"Qualified","Disqualified")</f>
        <v>Disqualified</v>
      </c>
      <c r="L21" s="3" t="str">
        <f>IF(NOT(J21=0),"Pass","Fail")</f>
        <v>Pass</v>
      </c>
      <c r="M21" s="3" t="str">
        <f t="array" ref="M21">IF(AND(F21:I21&gt;6,J21&gt;=25),"Pass","Fail")</f>
        <v>Fail</v>
      </c>
      <c r="N21" s="3" t="str">
        <f t="array" ref="N21">IF(OR(F21:I21&gt;6,J21&gt;=25),"Pass","Fail")</f>
        <v>Pass</v>
      </c>
      <c r="O21" s="3">
        <f>COUNTIF(F21:I21,"&gt;6")</f>
        <v>2</v>
      </c>
      <c r="P21" s="3" t="str">
        <f>_xlfn.IFS((J21&lt;20),"Need Improvement",(J21=20),"Good",(J21&gt;20),"Very Good",(J21&gt;30),"Excellent")</f>
        <v>Very Good</v>
      </c>
      <c r="Q21" s="40"/>
      <c r="R21" s="1"/>
      <c r="S21" s="10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 x14ac:dyDescent="0.3">
      <c r="A22" s="3" t="s">
        <v>91</v>
      </c>
      <c r="B22" s="3" t="s">
        <v>92</v>
      </c>
      <c r="C22" s="3" t="s">
        <v>90</v>
      </c>
      <c r="D22" s="3" t="s">
        <v>56</v>
      </c>
      <c r="E22" s="4">
        <v>44389</v>
      </c>
      <c r="F22" s="5">
        <v>4</v>
      </c>
      <c r="G22" s="5">
        <v>4</v>
      </c>
      <c r="H22" s="5">
        <v>5</v>
      </c>
      <c r="I22" s="5">
        <v>9</v>
      </c>
      <c r="J22" s="6">
        <f>SUM(F22:I22)</f>
        <v>22</v>
      </c>
      <c r="K22" s="3" t="str">
        <f>IF(J22&gt;=25,"Qualified","Disqualified")</f>
        <v>Disqualified</v>
      </c>
      <c r="L22" s="3" t="str">
        <f>IF(NOT(J22=0),"Pass","Fail")</f>
        <v>Pass</v>
      </c>
      <c r="M22" s="3" t="str">
        <f t="array" ref="M22">IF(AND(F22:I22&gt;6,J22&gt;=25),"Pass","Fail")</f>
        <v>Fail</v>
      </c>
      <c r="N22" s="3" t="str">
        <f t="array" ref="N22">IF(OR(F22:I22&gt;6,J22&gt;=25),"Pass","Fail")</f>
        <v>Pass</v>
      </c>
      <c r="O22" s="3">
        <f>COUNTIF(F22:I22,"&gt;6")</f>
        <v>1</v>
      </c>
      <c r="P22" s="3" t="str">
        <f>_xlfn.IFS((J22&lt;20),"Need Improvement",(J22=20),"Good",(J22&gt;20),"Very Good",(J22&gt;30),"Excellent")</f>
        <v>Very Good</v>
      </c>
      <c r="Q22" s="40"/>
      <c r="R22" s="1"/>
      <c r="S22" s="10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4.25" customHeight="1" x14ac:dyDescent="0.3">
      <c r="A23" s="3" t="s">
        <v>219</v>
      </c>
      <c r="B23" s="3" t="s">
        <v>220</v>
      </c>
      <c r="C23" s="3" t="s">
        <v>136</v>
      </c>
      <c r="D23" s="3" t="s">
        <v>43</v>
      </c>
      <c r="E23" s="4">
        <v>44631</v>
      </c>
      <c r="F23" s="5">
        <v>8</v>
      </c>
      <c r="G23" s="5">
        <v>6</v>
      </c>
      <c r="H23" s="5">
        <v>4</v>
      </c>
      <c r="I23" s="5">
        <v>4</v>
      </c>
      <c r="J23" s="6">
        <f>SUM(F23:I23)</f>
        <v>22</v>
      </c>
      <c r="K23" s="3" t="str">
        <f>IF(J23&gt;=25,"Qualified","Disqualified")</f>
        <v>Disqualified</v>
      </c>
      <c r="L23" s="3" t="str">
        <f>IF(NOT(J23=0),"Pass","Fail")</f>
        <v>Pass</v>
      </c>
      <c r="M23" s="3" t="str">
        <f t="array" ref="M23">IF(AND(F23:I23&gt;6,J23&gt;=25),"Pass","Fail")</f>
        <v>Fail</v>
      </c>
      <c r="N23" s="3" t="str">
        <f t="array" ref="N23">IF(OR(F23:I23&gt;6,J23&gt;=25),"Pass","Fail")</f>
        <v>Pass</v>
      </c>
      <c r="O23" s="3">
        <f>COUNTIF(F23:I23,"&gt;6")</f>
        <v>1</v>
      </c>
      <c r="P23" s="3" t="str">
        <f>_xlfn.IFS((J23&lt;20),"Need Improvement",(J23=20),"Good",(J23&gt;20),"Very Good",(J23&gt;30),"Excellent")</f>
        <v>Very Good</v>
      </c>
      <c r="Q23" s="40"/>
      <c r="R23" s="1"/>
      <c r="W23" s="2"/>
      <c r="X23" s="2"/>
      <c r="Y23" s="10"/>
      <c r="Z23" s="10"/>
      <c r="AA23" s="10"/>
      <c r="AB23" s="10"/>
      <c r="AC23" s="2"/>
      <c r="AD23" s="2"/>
    </row>
    <row r="24" spans="1:30" ht="14.25" customHeight="1" x14ac:dyDescent="0.3">
      <c r="A24" s="3" t="s">
        <v>288</v>
      </c>
      <c r="B24" s="3" t="s">
        <v>289</v>
      </c>
      <c r="C24" s="3" t="s">
        <v>25</v>
      </c>
      <c r="D24" s="3" t="s">
        <v>31</v>
      </c>
      <c r="E24" s="4">
        <v>44805</v>
      </c>
      <c r="F24" s="5"/>
      <c r="G24" s="5">
        <v>6</v>
      </c>
      <c r="H24" s="5">
        <v>8</v>
      </c>
      <c r="I24" s="5">
        <v>8</v>
      </c>
      <c r="J24" s="6">
        <f>SUM(F24:I24)</f>
        <v>22</v>
      </c>
      <c r="K24" s="3" t="str">
        <f>IF(J24&gt;=25,"Qualified","Disqualified")</f>
        <v>Disqualified</v>
      </c>
      <c r="L24" s="3" t="str">
        <f>IF(NOT(J24=0),"Pass","Fail")</f>
        <v>Pass</v>
      </c>
      <c r="M24" s="3" t="str">
        <f t="array" ref="M24">IF(AND(F24:I24&gt;6,J24&gt;=25),"Pass","Fail")</f>
        <v>Fail</v>
      </c>
      <c r="N24" s="3" t="str">
        <f t="array" ref="N24">IF(OR(F24:I24&gt;6,J24&gt;=25),"Pass","Fail")</f>
        <v>Pass</v>
      </c>
      <c r="O24" s="3">
        <f>COUNTIF(F24:I24,"&gt;6")</f>
        <v>2</v>
      </c>
      <c r="P24" s="3" t="str">
        <f>_xlfn.IFS((J24&lt;20),"Need Improvement",(J24=20),"Good",(J24&gt;20),"Very Good",(J24&gt;30),"Excellent")</f>
        <v>Very Good</v>
      </c>
      <c r="Q24" s="40"/>
      <c r="R24" s="2"/>
      <c r="S24" s="18"/>
      <c r="T24" s="19"/>
      <c r="U24" s="19"/>
      <c r="V24" s="19"/>
      <c r="W24" s="2"/>
      <c r="X24" s="2"/>
      <c r="Y24" s="2"/>
      <c r="Z24" s="2"/>
      <c r="AA24" s="2"/>
      <c r="AB24" s="2"/>
      <c r="AC24" s="2"/>
      <c r="AD24" s="2"/>
    </row>
    <row r="25" spans="1:30" ht="14.25" customHeight="1" x14ac:dyDescent="0.3">
      <c r="A25" s="3" t="s">
        <v>290</v>
      </c>
      <c r="B25" s="3" t="s">
        <v>291</v>
      </c>
      <c r="C25" s="3" t="s">
        <v>25</v>
      </c>
      <c r="D25" s="3" t="s">
        <v>26</v>
      </c>
      <c r="E25" s="4">
        <v>44894</v>
      </c>
      <c r="F25" s="5"/>
      <c r="G25" s="5">
        <v>4</v>
      </c>
      <c r="H25" s="5">
        <v>10</v>
      </c>
      <c r="I25" s="5">
        <v>8</v>
      </c>
      <c r="J25" s="6">
        <f>SUM(F25:I25)</f>
        <v>22</v>
      </c>
      <c r="K25" s="3" t="str">
        <f>IF(J25&gt;=25,"Qualified","Disqualified")</f>
        <v>Disqualified</v>
      </c>
      <c r="L25" s="3" t="str">
        <f>IF(NOT(J25=0),"Pass","Fail")</f>
        <v>Pass</v>
      </c>
      <c r="M25" s="3" t="str">
        <f t="array" ref="M25">IF(AND(F25:I25&gt;6,J25&gt;=25),"Pass","Fail")</f>
        <v>Fail</v>
      </c>
      <c r="N25" s="3" t="str">
        <f t="array" ref="N25">IF(OR(F25:I25&gt;6,J25&gt;=25),"Pass","Fail")</f>
        <v>Pass</v>
      </c>
      <c r="O25" s="3">
        <f>COUNTIF(F25:I25,"&gt;6")</f>
        <v>2</v>
      </c>
      <c r="P25" s="3" t="str">
        <f>_xlfn.IFS((J25&lt;20),"Need Improvement",(J25=20),"Good",(J25&gt;20),"Very Good",(J25&gt;30),"Excellent")</f>
        <v>Very Good</v>
      </c>
      <c r="Q25" s="40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 x14ac:dyDescent="0.3">
      <c r="A26" s="3" t="s">
        <v>388</v>
      </c>
      <c r="B26" s="3" t="s">
        <v>190</v>
      </c>
      <c r="C26" s="3" t="s">
        <v>69</v>
      </c>
      <c r="D26" s="3" t="s">
        <v>31</v>
      </c>
      <c r="E26" s="4">
        <v>44665</v>
      </c>
      <c r="F26" s="5">
        <v>6</v>
      </c>
      <c r="G26" s="5">
        <v>6</v>
      </c>
      <c r="H26" s="5">
        <v>6</v>
      </c>
      <c r="I26" s="5">
        <v>4</v>
      </c>
      <c r="J26" s="6">
        <f>SUM(F26:I26)</f>
        <v>22</v>
      </c>
      <c r="K26" s="3" t="str">
        <f>IF(J26&gt;=25,"Qualified","Disqualified")</f>
        <v>Disqualified</v>
      </c>
      <c r="L26" s="3" t="str">
        <f>IF(NOT(J26=0),"Pass","Fail")</f>
        <v>Pass</v>
      </c>
      <c r="M26" s="3" t="str">
        <f t="array" ref="M26">IF(AND(F26:I26&gt;6,J26&gt;=25),"Pass","Fail")</f>
        <v>Fail</v>
      </c>
      <c r="N26" s="3" t="str">
        <f t="array" ref="N26">IF(OR(F26:I26&gt;6,J26&gt;=25),"Pass","Fail")</f>
        <v>Fail</v>
      </c>
      <c r="O26" s="3">
        <f>COUNTIF(F26:I26,"&gt;6")</f>
        <v>0</v>
      </c>
      <c r="P26" s="3" t="str">
        <f>_xlfn.IFS((J26&lt;20),"Need Improvement",(J26=20),"Good",(J26&gt;20),"Very Good",(J26&gt;30),"Excellent")</f>
        <v>Very Good</v>
      </c>
      <c r="Q26" s="40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 x14ac:dyDescent="0.3">
      <c r="A27" s="3" t="s">
        <v>415</v>
      </c>
      <c r="B27" s="3" t="s">
        <v>244</v>
      </c>
      <c r="C27" s="3" t="s">
        <v>25</v>
      </c>
      <c r="D27" s="3" t="s">
        <v>31</v>
      </c>
      <c r="E27" s="4">
        <v>44560</v>
      </c>
      <c r="F27" s="5">
        <v>9</v>
      </c>
      <c r="G27" s="5">
        <v>4</v>
      </c>
      <c r="H27" s="5">
        <v>4</v>
      </c>
      <c r="I27" s="5">
        <v>5</v>
      </c>
      <c r="J27" s="6">
        <f>SUM(F27:I27)</f>
        <v>22</v>
      </c>
      <c r="K27" s="3" t="str">
        <f>IF(J27&gt;=25,"Qualified","Disqualified")</f>
        <v>Disqualified</v>
      </c>
      <c r="L27" s="3" t="str">
        <f>IF(NOT(J27=0),"Pass","Fail")</f>
        <v>Pass</v>
      </c>
      <c r="M27" s="3" t="str">
        <f t="array" ref="M27">IF(AND(F27:I27&gt;6,J27&gt;=25),"Pass","Fail")</f>
        <v>Fail</v>
      </c>
      <c r="N27" s="3" t="str">
        <f t="array" ref="N27">IF(OR(F27:I27&gt;6,J27&gt;=25),"Pass","Fail")</f>
        <v>Pass</v>
      </c>
      <c r="O27" s="3">
        <f>COUNTIF(F27:I27,"&gt;6")</f>
        <v>1</v>
      </c>
      <c r="P27" s="3" t="str">
        <f>_xlfn.IFS((J27&lt;20),"Need Improvement",(J27=20),"Good",(J27&gt;20),"Very Good",(J27&gt;30),"Excellent")</f>
        <v>Very Good</v>
      </c>
      <c r="Q27" s="40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 x14ac:dyDescent="0.3">
      <c r="A28" s="3" t="s">
        <v>416</v>
      </c>
      <c r="B28" s="3" t="s">
        <v>246</v>
      </c>
      <c r="C28" s="3" t="s">
        <v>25</v>
      </c>
      <c r="D28" s="3" t="s">
        <v>96</v>
      </c>
      <c r="E28" s="4">
        <v>44737</v>
      </c>
      <c r="F28" s="5">
        <v>4</v>
      </c>
      <c r="G28" s="5">
        <v>7</v>
      </c>
      <c r="H28" s="5">
        <v>5</v>
      </c>
      <c r="I28" s="5">
        <v>6</v>
      </c>
      <c r="J28" s="6">
        <f>SUM(F28:I28)</f>
        <v>22</v>
      </c>
      <c r="K28" s="3" t="str">
        <f>IF(J28&gt;=25,"Qualified","Disqualified")</f>
        <v>Disqualified</v>
      </c>
      <c r="L28" s="3" t="str">
        <f>IF(NOT(J28=0),"Pass","Fail")</f>
        <v>Pass</v>
      </c>
      <c r="M28" s="3" t="str">
        <f t="array" ref="M28">IF(AND(F28:I28&gt;6,J28&gt;=25),"Pass","Fail")</f>
        <v>Fail</v>
      </c>
      <c r="N28" s="3" t="str">
        <f t="array" ref="N28">IF(OR(F28:I28&gt;6,J28&gt;=25),"Pass","Fail")</f>
        <v>Pass</v>
      </c>
      <c r="O28" s="3">
        <f>COUNTIF(F28:I28,"&gt;6")</f>
        <v>1</v>
      </c>
      <c r="P28" s="3" t="str">
        <f>_xlfn.IFS((J28&lt;20),"Need Improvement",(J28=20),"Good",(J28&gt;20),"Very Good",(J28&gt;30),"Excellent")</f>
        <v>Very Good</v>
      </c>
      <c r="Q28" s="4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 x14ac:dyDescent="0.3">
      <c r="A29" s="3" t="s">
        <v>48</v>
      </c>
      <c r="B29" s="3" t="s">
        <v>49</v>
      </c>
      <c r="C29" s="3" t="s">
        <v>30</v>
      </c>
      <c r="D29" s="3" t="s">
        <v>50</v>
      </c>
      <c r="E29" s="4">
        <v>44321</v>
      </c>
      <c r="F29" s="5">
        <v>7</v>
      </c>
      <c r="G29" s="5">
        <v>5</v>
      </c>
      <c r="H29" s="5">
        <v>7</v>
      </c>
      <c r="I29" s="5">
        <v>4</v>
      </c>
      <c r="J29" s="6">
        <f>SUM(F29:I29)</f>
        <v>23</v>
      </c>
      <c r="K29" s="3" t="str">
        <f>IF(J29&gt;=25,"Qualified","Disqualified")</f>
        <v>Disqualified</v>
      </c>
      <c r="L29" s="3" t="str">
        <f>IF(NOT(J29=0),"Pass","Fail")</f>
        <v>Pass</v>
      </c>
      <c r="M29" s="3" t="str">
        <f t="array" ref="M29">IF(AND(F29:I29&gt;6,J29&gt;=25),"Pass","Fail")</f>
        <v>Fail</v>
      </c>
      <c r="N29" s="3" t="str">
        <f t="array" ref="N29">IF(OR(F29:I29&gt;6,J29&gt;=25),"Pass","Fail")</f>
        <v>Pass</v>
      </c>
      <c r="O29" s="3">
        <f>COUNTIF(F29:I29,"&gt;6")</f>
        <v>2</v>
      </c>
      <c r="P29" s="3" t="str">
        <f>_xlfn.IFS((J29&lt;20),"Need Improvement",(J29=20),"Good",(J29&gt;20),"Very Good",(J29&gt;30),"Excellent")</f>
        <v>Very Good</v>
      </c>
      <c r="Q29" s="4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 x14ac:dyDescent="0.3">
      <c r="A30" s="3" t="s">
        <v>82</v>
      </c>
      <c r="B30" s="3" t="s">
        <v>83</v>
      </c>
      <c r="C30" s="3" t="s">
        <v>34</v>
      </c>
      <c r="D30" s="3" t="s">
        <v>50</v>
      </c>
      <c r="E30" s="4">
        <v>44594</v>
      </c>
      <c r="F30" s="5">
        <v>9</v>
      </c>
      <c r="G30" s="5">
        <v>5</v>
      </c>
      <c r="H30" s="5">
        <v>4</v>
      </c>
      <c r="I30" s="5">
        <v>5</v>
      </c>
      <c r="J30" s="6">
        <f>SUM(F30:I30)</f>
        <v>23</v>
      </c>
      <c r="K30" s="3" t="str">
        <f>IF(J30&gt;=25,"Qualified","Disqualified")</f>
        <v>Disqualified</v>
      </c>
      <c r="L30" s="3" t="str">
        <f>IF(NOT(J30=0),"Pass","Fail")</f>
        <v>Pass</v>
      </c>
      <c r="M30" s="3" t="str">
        <f t="array" ref="M30">IF(AND(F30:I30&gt;6,J30&gt;=25),"Pass","Fail")</f>
        <v>Fail</v>
      </c>
      <c r="N30" s="3" t="str">
        <f t="array" ref="N30">IF(OR(F30:I30&gt;6,J30&gt;=25),"Pass","Fail")</f>
        <v>Pass</v>
      </c>
      <c r="O30" s="3">
        <f>COUNTIF(F30:I30,"&gt;6")</f>
        <v>1</v>
      </c>
      <c r="P30" s="3" t="str">
        <f>_xlfn.IFS((J30&lt;20),"Need Improvement",(J30=20),"Good",(J30&gt;20),"Very Good",(J30&gt;30),"Excellent")</f>
        <v>Very Good</v>
      </c>
      <c r="Q30" s="4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 x14ac:dyDescent="0.3">
      <c r="A31" s="3" t="s">
        <v>88</v>
      </c>
      <c r="B31" s="3" t="s">
        <v>89</v>
      </c>
      <c r="C31" s="3" t="s">
        <v>90</v>
      </c>
      <c r="D31" s="3" t="s">
        <v>26</v>
      </c>
      <c r="E31" s="4">
        <v>44614</v>
      </c>
      <c r="F31" s="5">
        <v>5</v>
      </c>
      <c r="G31" s="5">
        <v>8</v>
      </c>
      <c r="H31" s="5">
        <v>6</v>
      </c>
      <c r="I31" s="5">
        <v>4</v>
      </c>
      <c r="J31" s="6">
        <f>SUM(F31:I31)</f>
        <v>23</v>
      </c>
      <c r="K31" s="3" t="str">
        <f>IF(J31&gt;=25,"Qualified","Disqualified")</f>
        <v>Disqualified</v>
      </c>
      <c r="L31" s="3" t="str">
        <f>IF(NOT(J31=0),"Pass","Fail")</f>
        <v>Pass</v>
      </c>
      <c r="M31" s="3" t="str">
        <f t="array" ref="M31">IF(AND(F31:I31&gt;6,J31&gt;=25),"Pass","Fail")</f>
        <v>Fail</v>
      </c>
      <c r="N31" s="3" t="str">
        <f t="array" ref="N31">IF(OR(F31:I31&gt;6,J31&gt;=25),"Pass","Fail")</f>
        <v>Pass</v>
      </c>
      <c r="O31" s="3">
        <f>COUNTIF(F31:I31,"&gt;6")</f>
        <v>1</v>
      </c>
      <c r="P31" s="3" t="str">
        <f>_xlfn.IFS((J31&lt;20),"Need Improvement",(J31=20),"Good",(J31&gt;20),"Very Good",(J31&gt;30),"Excellent")</f>
        <v>Very Good</v>
      </c>
      <c r="Q31" s="4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 x14ac:dyDescent="0.3">
      <c r="A32" s="3" t="s">
        <v>95</v>
      </c>
      <c r="B32" s="3" t="s">
        <v>77</v>
      </c>
      <c r="C32" s="3" t="s">
        <v>90</v>
      </c>
      <c r="D32" s="3" t="s">
        <v>96</v>
      </c>
      <c r="E32" s="4">
        <v>44646</v>
      </c>
      <c r="F32" s="5">
        <v>6</v>
      </c>
      <c r="G32" s="5">
        <v>4</v>
      </c>
      <c r="H32" s="5">
        <v>5</v>
      </c>
      <c r="I32" s="5">
        <v>8</v>
      </c>
      <c r="J32" s="6">
        <f>SUM(F32:I32)</f>
        <v>23</v>
      </c>
      <c r="K32" s="3" t="str">
        <f>IF(J32&gt;=25,"Qualified","Disqualified")</f>
        <v>Disqualified</v>
      </c>
      <c r="L32" s="3" t="str">
        <f>IF(NOT(J32=0),"Pass","Fail")</f>
        <v>Pass</v>
      </c>
      <c r="M32" s="3" t="str">
        <f t="array" ref="M32">IF(AND(F32:I32&gt;6,J32&gt;=25),"Pass","Fail")</f>
        <v>Fail</v>
      </c>
      <c r="N32" s="3" t="str">
        <f t="array" ref="N32">IF(OR(F32:I32&gt;6,J32&gt;=25),"Pass","Fail")</f>
        <v>Pass</v>
      </c>
      <c r="O32" s="3">
        <f>COUNTIF(F32:I32,"&gt;6")</f>
        <v>1</v>
      </c>
      <c r="P32" s="3" t="str">
        <f>_xlfn.IFS((J32&lt;20),"Need Improvement",(J32=20),"Good",(J32&gt;20),"Very Good",(J32&gt;30),"Excellent")</f>
        <v>Very Good</v>
      </c>
      <c r="Q32" s="4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 x14ac:dyDescent="0.3">
      <c r="A33" s="3" t="s">
        <v>109</v>
      </c>
      <c r="B33" s="3" t="s">
        <v>110</v>
      </c>
      <c r="C33" s="3" t="s">
        <v>25</v>
      </c>
      <c r="D33" s="3" t="s">
        <v>31</v>
      </c>
      <c r="E33" s="4">
        <v>44777</v>
      </c>
      <c r="F33" s="5">
        <v>5</v>
      </c>
      <c r="G33" s="5">
        <v>7</v>
      </c>
      <c r="H33" s="5">
        <v>6</v>
      </c>
      <c r="I33" s="5">
        <v>5</v>
      </c>
      <c r="J33" s="6">
        <f>SUM(F33:I33)</f>
        <v>23</v>
      </c>
      <c r="K33" s="3" t="str">
        <f>IF(J33&gt;=25,"Qualified","Disqualified")</f>
        <v>Disqualified</v>
      </c>
      <c r="L33" s="3" t="str">
        <f>IF(NOT(J33=0),"Pass","Fail")</f>
        <v>Pass</v>
      </c>
      <c r="M33" s="3" t="str">
        <f t="array" ref="M33">IF(AND(F33:I33&gt;6,J33&gt;=25),"Pass","Fail")</f>
        <v>Fail</v>
      </c>
      <c r="N33" s="3" t="str">
        <f t="array" ref="N33">IF(OR(F33:I33&gt;6,J33&gt;=25),"Pass","Fail")</f>
        <v>Pass</v>
      </c>
      <c r="O33" s="3">
        <f>COUNTIF(F33:I33,"&gt;6")</f>
        <v>1</v>
      </c>
      <c r="P33" s="3" t="str">
        <f>_xlfn.IFS((J33&lt;20),"Need Improvement",(J33=20),"Good",(J33&gt;20),"Very Good",(J33&gt;30),"Excellent")</f>
        <v>Very Good</v>
      </c>
      <c r="Q33" s="4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 x14ac:dyDescent="0.3">
      <c r="A34" s="3" t="s">
        <v>143</v>
      </c>
      <c r="B34" s="3" t="s">
        <v>144</v>
      </c>
      <c r="C34" s="3" t="s">
        <v>69</v>
      </c>
      <c r="D34" s="3" t="s">
        <v>26</v>
      </c>
      <c r="E34" s="4">
        <v>44607</v>
      </c>
      <c r="F34" s="5">
        <v>4</v>
      </c>
      <c r="G34" s="5">
        <v>5</v>
      </c>
      <c r="H34" s="5">
        <v>7</v>
      </c>
      <c r="I34" s="5">
        <v>7</v>
      </c>
      <c r="J34" s="6">
        <f>SUM(F34:I34)</f>
        <v>23</v>
      </c>
      <c r="K34" s="3" t="str">
        <f>IF(J34&gt;=25,"Qualified","Disqualified")</f>
        <v>Disqualified</v>
      </c>
      <c r="L34" s="3" t="str">
        <f>IF(NOT(J34=0),"Pass","Fail")</f>
        <v>Pass</v>
      </c>
      <c r="M34" s="3" t="str">
        <f t="array" ref="M34">IF(AND(F34:I34&gt;6,J34&gt;=25),"Pass","Fail")</f>
        <v>Fail</v>
      </c>
      <c r="N34" s="3" t="str">
        <f t="array" ref="N34">IF(OR(F34:I34&gt;6,J34&gt;=25),"Pass","Fail")</f>
        <v>Pass</v>
      </c>
      <c r="O34" s="3">
        <f>COUNTIF(F34:I34,"&gt;6")</f>
        <v>2</v>
      </c>
      <c r="P34" s="3" t="str">
        <f>_xlfn.IFS((J34&lt;20),"Need Improvement",(J34=20),"Good",(J34&gt;20),"Very Good",(J34&gt;30),"Excellent")</f>
        <v>Very Good</v>
      </c>
      <c r="Q34" s="4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 x14ac:dyDescent="0.3">
      <c r="A35" s="3" t="s">
        <v>163</v>
      </c>
      <c r="B35" s="3" t="s">
        <v>164</v>
      </c>
      <c r="C35" s="3" t="s">
        <v>25</v>
      </c>
      <c r="D35" s="3" t="s">
        <v>56</v>
      </c>
      <c r="E35" s="4">
        <v>44417</v>
      </c>
      <c r="F35" s="5">
        <v>7</v>
      </c>
      <c r="G35" s="5">
        <v>6</v>
      </c>
      <c r="H35" s="5">
        <v>5</v>
      </c>
      <c r="I35" s="5">
        <v>5</v>
      </c>
      <c r="J35" s="6">
        <f>SUM(F35:I35)</f>
        <v>23</v>
      </c>
      <c r="K35" s="3" t="str">
        <f>IF(J35&gt;=25,"Qualified","Disqualified")</f>
        <v>Disqualified</v>
      </c>
      <c r="L35" s="3" t="str">
        <f>IF(NOT(J35=0),"Pass","Fail")</f>
        <v>Pass</v>
      </c>
      <c r="M35" s="3" t="str">
        <f t="array" ref="M35">IF(AND(F35:I35&gt;6,J35&gt;=25),"Pass","Fail")</f>
        <v>Fail</v>
      </c>
      <c r="N35" s="3" t="str">
        <f t="array" ref="N35">IF(OR(F35:I35&gt;6,J35&gt;=25),"Pass","Fail")</f>
        <v>Pass</v>
      </c>
      <c r="O35" s="3">
        <f>COUNTIF(F35:I35,"&gt;6")</f>
        <v>1</v>
      </c>
      <c r="P35" s="3" t="str">
        <f>_xlfn.IFS((J35&lt;20),"Need Improvement",(J35=20),"Good",(J35&gt;20),"Very Good",(J35&gt;30),"Excellent")</f>
        <v>Very Good</v>
      </c>
      <c r="Q35" s="4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 x14ac:dyDescent="0.3">
      <c r="A36" s="3" t="s">
        <v>165</v>
      </c>
      <c r="B36" s="3" t="s">
        <v>166</v>
      </c>
      <c r="C36" s="3" t="s">
        <v>25</v>
      </c>
      <c r="D36" s="3" t="s">
        <v>43</v>
      </c>
      <c r="E36" s="4">
        <v>44379</v>
      </c>
      <c r="F36" s="5">
        <v>8</v>
      </c>
      <c r="G36" s="5">
        <v>4</v>
      </c>
      <c r="H36" s="5">
        <v>4</v>
      </c>
      <c r="I36" s="5">
        <v>7</v>
      </c>
      <c r="J36" s="6">
        <f>SUM(F36:I36)</f>
        <v>23</v>
      </c>
      <c r="K36" s="3" t="str">
        <f>IF(J36&gt;=25,"Qualified","Disqualified")</f>
        <v>Disqualified</v>
      </c>
      <c r="L36" s="3" t="str">
        <f>IF(NOT(J36=0),"Pass","Fail")</f>
        <v>Pass</v>
      </c>
      <c r="M36" s="3" t="str">
        <f t="array" ref="M36">IF(AND(F36:I36&gt;6,J36&gt;=25),"Pass","Fail")</f>
        <v>Fail</v>
      </c>
      <c r="N36" s="3" t="str">
        <f t="array" ref="N36">IF(OR(F36:I36&gt;6,J36&gt;=25),"Pass","Fail")</f>
        <v>Pass</v>
      </c>
      <c r="O36" s="3">
        <f>COUNTIF(F36:I36,"&gt;6")</f>
        <v>2</v>
      </c>
      <c r="P36" s="3" t="str">
        <f>_xlfn.IFS((J36&lt;20),"Need Improvement",(J36=20),"Good",(J36&gt;20),"Very Good",(J36&gt;30),"Excellent")</f>
        <v>Very Good</v>
      </c>
      <c r="Q36" s="4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 x14ac:dyDescent="0.3">
      <c r="A37" s="3" t="s">
        <v>177</v>
      </c>
      <c r="B37" s="3" t="s">
        <v>178</v>
      </c>
      <c r="C37" s="3" t="s">
        <v>136</v>
      </c>
      <c r="D37" s="3" t="s">
        <v>129</v>
      </c>
      <c r="E37" s="4">
        <v>44913</v>
      </c>
      <c r="F37" s="5"/>
      <c r="G37" s="5">
        <v>9</v>
      </c>
      <c r="H37" s="5">
        <v>9</v>
      </c>
      <c r="I37" s="5">
        <v>5</v>
      </c>
      <c r="J37" s="6">
        <f>SUM(F37:I37)</f>
        <v>23</v>
      </c>
      <c r="K37" s="3" t="str">
        <f>IF(J37&gt;=25,"Qualified","Disqualified")</f>
        <v>Disqualified</v>
      </c>
      <c r="L37" s="3" t="str">
        <f>IF(NOT(J37=0),"Pass","Fail")</f>
        <v>Pass</v>
      </c>
      <c r="M37" s="3" t="str">
        <f t="array" ref="M37">IF(AND(F37:I37&gt;6,J37&gt;=25),"Pass","Fail")</f>
        <v>Fail</v>
      </c>
      <c r="N37" s="3" t="str">
        <f t="array" ref="N37">IF(OR(F37:I37&gt;6,J37&gt;=25),"Pass","Fail")</f>
        <v>Pass</v>
      </c>
      <c r="O37" s="3">
        <f>COUNTIF(F37:I37,"&gt;6")</f>
        <v>2</v>
      </c>
      <c r="P37" s="3" t="str">
        <f>_xlfn.IFS((J37&lt;20),"Need Improvement",(J37=20),"Good",(J37&gt;20),"Very Good",(J37&gt;30),"Excellent")</f>
        <v>Very Good</v>
      </c>
      <c r="Q37" s="4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 x14ac:dyDescent="0.3">
      <c r="A38" s="3" t="s">
        <v>241</v>
      </c>
      <c r="B38" s="3" t="s">
        <v>242</v>
      </c>
      <c r="C38" s="3" t="s">
        <v>25</v>
      </c>
      <c r="D38" s="3" t="s">
        <v>26</v>
      </c>
      <c r="E38" s="4">
        <v>44432</v>
      </c>
      <c r="F38" s="5"/>
      <c r="G38" s="5">
        <v>9</v>
      </c>
      <c r="H38" s="5">
        <v>6</v>
      </c>
      <c r="I38" s="5">
        <v>8</v>
      </c>
      <c r="J38" s="6">
        <f>SUM(F38:I38)</f>
        <v>23</v>
      </c>
      <c r="K38" s="3" t="str">
        <f>IF(J38&gt;=25,"Qualified","Disqualified")</f>
        <v>Disqualified</v>
      </c>
      <c r="L38" s="3" t="str">
        <f>IF(NOT(J38=0),"Pass","Fail")</f>
        <v>Pass</v>
      </c>
      <c r="M38" s="3" t="str">
        <f t="array" ref="M38">IF(AND(F38:I38&gt;6,J38&gt;=25),"Pass","Fail")</f>
        <v>Fail</v>
      </c>
      <c r="N38" s="3" t="str">
        <f t="array" ref="N38">IF(OR(F38:I38&gt;6,J38&gt;=25),"Pass","Fail")</f>
        <v>Pass</v>
      </c>
      <c r="O38" s="3">
        <f>COUNTIF(F38:I38,"&gt;6")</f>
        <v>2</v>
      </c>
      <c r="P38" s="3" t="str">
        <f>_xlfn.IFS((J38&lt;20),"Need Improvement",(J38=20),"Good",(J38&gt;20),"Very Good",(J38&gt;30),"Excellent")</f>
        <v>Very Good</v>
      </c>
      <c r="Q38" s="4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 x14ac:dyDescent="0.3">
      <c r="A39" s="3" t="s">
        <v>286</v>
      </c>
      <c r="B39" s="3" t="s">
        <v>287</v>
      </c>
      <c r="C39" s="3" t="s">
        <v>25</v>
      </c>
      <c r="D39" s="3" t="s">
        <v>96</v>
      </c>
      <c r="E39" s="4">
        <v>44982</v>
      </c>
      <c r="F39" s="5"/>
      <c r="G39" s="5">
        <v>7</v>
      </c>
      <c r="H39" s="5">
        <v>6</v>
      </c>
      <c r="I39" s="5">
        <v>10</v>
      </c>
      <c r="J39" s="6">
        <f>SUM(F39:I39)</f>
        <v>23</v>
      </c>
      <c r="K39" s="3" t="str">
        <f>IF(J39&gt;=25,"Qualified","Disqualified")</f>
        <v>Disqualified</v>
      </c>
      <c r="L39" s="3" t="str">
        <f>IF(NOT(J39=0),"Pass","Fail")</f>
        <v>Pass</v>
      </c>
      <c r="M39" s="3" t="str">
        <f t="array" ref="M39">IF(AND(F39:I39&gt;6,J39&gt;=25),"Pass","Fail")</f>
        <v>Fail</v>
      </c>
      <c r="N39" s="3" t="str">
        <f t="array" ref="N39">IF(OR(F39:I39&gt;6,J39&gt;=25),"Pass","Fail")</f>
        <v>Pass</v>
      </c>
      <c r="O39" s="3">
        <f>COUNTIF(F39:I39,"&gt;6")</f>
        <v>2</v>
      </c>
      <c r="P39" s="3" t="str">
        <f>_xlfn.IFS((J39&lt;20),"Need Improvement",(J39=20),"Good",(J39&gt;20),"Very Good",(J39&gt;30),"Excellent")</f>
        <v>Very Good</v>
      </c>
      <c r="Q39" s="4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 x14ac:dyDescent="0.3">
      <c r="A40" s="3" t="s">
        <v>302</v>
      </c>
      <c r="B40" s="3" t="s">
        <v>303</v>
      </c>
      <c r="C40" s="3" t="s">
        <v>136</v>
      </c>
      <c r="D40" s="3" t="s">
        <v>26</v>
      </c>
      <c r="E40" s="4">
        <v>44537</v>
      </c>
      <c r="F40" s="5">
        <v>5</v>
      </c>
      <c r="G40" s="5">
        <v>6</v>
      </c>
      <c r="H40" s="5">
        <v>5</v>
      </c>
      <c r="I40" s="5">
        <v>7</v>
      </c>
      <c r="J40" s="6">
        <f>SUM(F40:I40)</f>
        <v>23</v>
      </c>
      <c r="K40" s="3" t="str">
        <f>IF(J40&gt;=25,"Qualified","Disqualified")</f>
        <v>Disqualified</v>
      </c>
      <c r="L40" s="3" t="str">
        <f>IF(NOT(J40=0),"Pass","Fail")</f>
        <v>Pass</v>
      </c>
      <c r="M40" s="3" t="str">
        <f t="array" ref="M40">IF(AND(F40:I40&gt;6,J40&gt;=25),"Pass","Fail")</f>
        <v>Fail</v>
      </c>
      <c r="N40" s="3" t="str">
        <f t="array" ref="N40">IF(OR(F40:I40&gt;6,J40&gt;=25),"Pass","Fail")</f>
        <v>Pass</v>
      </c>
      <c r="O40" s="3">
        <f>COUNTIF(F40:I40,"&gt;6")</f>
        <v>1</v>
      </c>
      <c r="P40" s="3" t="str">
        <f>_xlfn.IFS((J40&lt;20),"Need Improvement",(J40=20),"Good",(J40&gt;20),"Very Good",(J40&gt;30),"Excellent")</f>
        <v>Very Good</v>
      </c>
      <c r="Q40" s="4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 x14ac:dyDescent="0.3">
      <c r="A41" s="3" t="s">
        <v>368</v>
      </c>
      <c r="B41" s="3" t="s">
        <v>369</v>
      </c>
      <c r="C41" s="3" t="s">
        <v>25</v>
      </c>
      <c r="D41" s="3" t="s">
        <v>56</v>
      </c>
      <c r="E41" s="4">
        <v>44508</v>
      </c>
      <c r="F41" s="5">
        <v>6</v>
      </c>
      <c r="G41" s="5">
        <v>5</v>
      </c>
      <c r="H41" s="5">
        <v>7</v>
      </c>
      <c r="I41" s="5">
        <v>5</v>
      </c>
      <c r="J41" s="6">
        <f>SUM(F41:I41)</f>
        <v>23</v>
      </c>
      <c r="K41" s="3" t="str">
        <f>IF(J41&gt;=25,"Qualified","Disqualified")</f>
        <v>Disqualified</v>
      </c>
      <c r="L41" s="3" t="str">
        <f>IF(NOT(J41=0),"Pass","Fail")</f>
        <v>Pass</v>
      </c>
      <c r="M41" s="3" t="str">
        <f t="array" ref="M41">IF(AND(F41:I41&gt;6,J41&gt;=25),"Pass","Fail")</f>
        <v>Fail</v>
      </c>
      <c r="N41" s="3" t="str">
        <f t="array" ref="N41">IF(OR(F41:I41&gt;6,J41&gt;=25),"Pass","Fail")</f>
        <v>Pass</v>
      </c>
      <c r="O41" s="3">
        <f>COUNTIF(F41:I41,"&gt;6")</f>
        <v>1</v>
      </c>
      <c r="P41" s="3" t="str">
        <f>_xlfn.IFS((J41&lt;20),"Need Improvement",(J41=20),"Good",(J41&gt;20),"Very Good",(J41&gt;30),"Excellent")</f>
        <v>Very Good</v>
      </c>
      <c r="Q41" s="4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 x14ac:dyDescent="0.3">
      <c r="A42" s="3" t="s">
        <v>374</v>
      </c>
      <c r="B42" s="3" t="s">
        <v>375</v>
      </c>
      <c r="C42" s="3" t="s">
        <v>25</v>
      </c>
      <c r="D42" s="3" t="s">
        <v>26</v>
      </c>
      <c r="E42" s="4">
        <v>44677</v>
      </c>
      <c r="F42" s="5">
        <v>5</v>
      </c>
      <c r="G42" s="5">
        <v>9</v>
      </c>
      <c r="H42" s="5">
        <v>5</v>
      </c>
      <c r="I42" s="5">
        <v>4</v>
      </c>
      <c r="J42" s="6">
        <f>SUM(F42:I42)</f>
        <v>23</v>
      </c>
      <c r="K42" s="3" t="str">
        <f>IF(J42&gt;=25,"Qualified","Disqualified")</f>
        <v>Disqualified</v>
      </c>
      <c r="L42" s="3" t="str">
        <f>IF(NOT(J42=0),"Pass","Fail")</f>
        <v>Pass</v>
      </c>
      <c r="M42" s="3" t="str">
        <f t="array" ref="M42">IF(AND(F42:I42&gt;6,J42&gt;=25),"Pass","Fail")</f>
        <v>Fail</v>
      </c>
      <c r="N42" s="3" t="str">
        <f t="array" ref="N42">IF(OR(F42:I42&gt;6,J42&gt;=25),"Pass","Fail")</f>
        <v>Pass</v>
      </c>
      <c r="O42" s="3">
        <f>COUNTIF(F42:I42,"&gt;6")</f>
        <v>1</v>
      </c>
      <c r="P42" s="3" t="str">
        <f>_xlfn.IFS((J42&lt;20),"Need Improvement",(J42=20),"Good",(J42&gt;20),"Very Good",(J42&gt;30),"Excellent")</f>
        <v>Very Good</v>
      </c>
      <c r="Q42" s="4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 x14ac:dyDescent="0.3">
      <c r="A43" s="3" t="s">
        <v>393</v>
      </c>
      <c r="B43" s="3" t="s">
        <v>200</v>
      </c>
      <c r="C43" s="3" t="s">
        <v>60</v>
      </c>
      <c r="D43" s="3" t="s">
        <v>129</v>
      </c>
      <c r="E43" s="4">
        <v>44745</v>
      </c>
      <c r="F43" s="5">
        <v>5</v>
      </c>
      <c r="G43" s="5">
        <v>5</v>
      </c>
      <c r="H43" s="5">
        <v>7</v>
      </c>
      <c r="I43" s="5">
        <v>6</v>
      </c>
      <c r="J43" s="6">
        <f>SUM(F43:I43)</f>
        <v>23</v>
      </c>
      <c r="K43" s="3" t="str">
        <f>IF(J43&gt;=25,"Qualified","Disqualified")</f>
        <v>Disqualified</v>
      </c>
      <c r="L43" s="3" t="str">
        <f>IF(NOT(J43=0),"Pass","Fail")</f>
        <v>Pass</v>
      </c>
      <c r="M43" s="3" t="str">
        <f t="array" ref="M43">IF(AND(F43:I43&gt;6,J43&gt;=25),"Pass","Fail")</f>
        <v>Fail</v>
      </c>
      <c r="N43" s="3" t="str">
        <f t="array" ref="N43">IF(OR(F43:I43&gt;6,J43&gt;=25),"Pass","Fail")</f>
        <v>Pass</v>
      </c>
      <c r="O43" s="3">
        <f>COUNTIF(F43:I43,"&gt;6")</f>
        <v>1</v>
      </c>
      <c r="P43" s="3" t="str">
        <f>_xlfn.IFS((J43&lt;20),"Need Improvement",(J43=20),"Good",(J43&gt;20),"Very Good",(J43&gt;30),"Excellent")</f>
        <v>Very Good</v>
      </c>
      <c r="Q43" s="4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 x14ac:dyDescent="0.3">
      <c r="A44" s="3" t="s">
        <v>32</v>
      </c>
      <c r="B44" s="3" t="s">
        <v>33</v>
      </c>
      <c r="C44" s="3" t="s">
        <v>34</v>
      </c>
      <c r="D44" s="3" t="s">
        <v>26</v>
      </c>
      <c r="E44" s="4">
        <v>44656</v>
      </c>
      <c r="F44" s="5"/>
      <c r="G44" s="5">
        <v>5</v>
      </c>
      <c r="H44" s="5">
        <v>10</v>
      </c>
      <c r="I44" s="5">
        <v>9</v>
      </c>
      <c r="J44" s="6">
        <f>SUM(F44:I44)</f>
        <v>24</v>
      </c>
      <c r="K44" s="3" t="str">
        <f>IF(J44&gt;=25,"Qualified","Disqualified")</f>
        <v>Disqualified</v>
      </c>
      <c r="L44" s="3" t="str">
        <f>IF(NOT(J44=0),"Pass","Fail")</f>
        <v>Pass</v>
      </c>
      <c r="M44" s="3" t="str">
        <f t="array" ref="M44">IF(AND(F44:I44&gt;6,J44&gt;=25),"Pass","Fail")</f>
        <v>Fail</v>
      </c>
      <c r="N44" s="3" t="str">
        <f t="array" ref="N44">IF(OR(F44:I44&gt;6,J44&gt;=25),"Pass","Fail")</f>
        <v>Pass</v>
      </c>
      <c r="O44" s="3">
        <f>COUNTIF(F44:I44,"&gt;6")</f>
        <v>2</v>
      </c>
      <c r="P44" s="3" t="str">
        <f>_xlfn.IFS((J44&lt;20),"Need Improvement",(J44=20),"Good",(J44&gt;20),"Very Good",(J44&gt;30),"Excellent")</f>
        <v>Very Good</v>
      </c>
      <c r="Q44" s="4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 x14ac:dyDescent="0.3">
      <c r="A45" s="3" t="s">
        <v>38</v>
      </c>
      <c r="B45" s="3" t="s">
        <v>39</v>
      </c>
      <c r="C45" s="3" t="s">
        <v>34</v>
      </c>
      <c r="D45" s="3" t="s">
        <v>31</v>
      </c>
      <c r="E45" s="4">
        <v>44637</v>
      </c>
      <c r="F45" s="5"/>
      <c r="G45" s="5">
        <v>6</v>
      </c>
      <c r="H45" s="5">
        <v>9</v>
      </c>
      <c r="I45" s="5">
        <v>9</v>
      </c>
      <c r="J45" s="6">
        <f>SUM(F45:I45)</f>
        <v>24</v>
      </c>
      <c r="K45" s="3" t="str">
        <f>IF(J45&gt;=25,"Qualified","Disqualified")</f>
        <v>Disqualified</v>
      </c>
      <c r="L45" s="3" t="str">
        <f>IF(NOT(J45=0),"Pass","Fail")</f>
        <v>Pass</v>
      </c>
      <c r="M45" s="3" t="str">
        <f t="array" ref="M45">IF(AND(F45:I45&gt;6,J45&gt;=25),"Pass","Fail")</f>
        <v>Fail</v>
      </c>
      <c r="N45" s="3" t="str">
        <f t="array" ref="N45">IF(OR(F45:I45&gt;6,J45&gt;=25),"Pass","Fail")</f>
        <v>Pass</v>
      </c>
      <c r="O45" s="3">
        <f>COUNTIF(F45:I45,"&gt;6")</f>
        <v>2</v>
      </c>
      <c r="P45" s="3" t="str">
        <f>_xlfn.IFS((J45&lt;20),"Need Improvement",(J45=20),"Good",(J45&gt;20),"Very Good",(J45&gt;30),"Excellent")</f>
        <v>Very Good</v>
      </c>
      <c r="Q45" s="40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 x14ac:dyDescent="0.3">
      <c r="A46" s="3" t="s">
        <v>65</v>
      </c>
      <c r="B46" s="3" t="s">
        <v>66</v>
      </c>
      <c r="C46" s="3" t="s">
        <v>60</v>
      </c>
      <c r="D46" s="3" t="s">
        <v>50</v>
      </c>
      <c r="E46" s="4">
        <v>44475</v>
      </c>
      <c r="F46" s="5">
        <v>8</v>
      </c>
      <c r="G46" s="5">
        <v>6</v>
      </c>
      <c r="H46" s="5">
        <v>6</v>
      </c>
      <c r="I46" s="5">
        <v>4</v>
      </c>
      <c r="J46" s="6">
        <f>SUM(F46:I46)</f>
        <v>24</v>
      </c>
      <c r="K46" s="3" t="str">
        <f>IF(J46&gt;=25,"Qualified","Disqualified")</f>
        <v>Disqualified</v>
      </c>
      <c r="L46" s="3" t="str">
        <f>IF(NOT(J46=0),"Pass","Fail")</f>
        <v>Pass</v>
      </c>
      <c r="M46" s="3" t="str">
        <f t="array" ref="M46">IF(AND(F46:I46&gt;6,J46&gt;=25),"Pass","Fail")</f>
        <v>Fail</v>
      </c>
      <c r="N46" s="3" t="str">
        <f t="array" ref="N46">IF(OR(F46:I46&gt;6,J46&gt;=25),"Pass","Fail")</f>
        <v>Pass</v>
      </c>
      <c r="O46" s="3">
        <f>COUNTIF(F46:I46,"&gt;6")</f>
        <v>1</v>
      </c>
      <c r="P46" s="3" t="str">
        <f>_xlfn.IFS((J46&lt;20),"Need Improvement",(J46=20),"Good",(J46&gt;20),"Very Good",(J46&gt;30),"Excellent")</f>
        <v>Very Good</v>
      </c>
      <c r="Q46" s="4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 x14ac:dyDescent="0.3">
      <c r="A47" s="3" t="s">
        <v>67</v>
      </c>
      <c r="B47" s="3" t="s">
        <v>68</v>
      </c>
      <c r="C47" s="3" t="s">
        <v>69</v>
      </c>
      <c r="D47" s="3" t="s">
        <v>50</v>
      </c>
      <c r="E47" s="4">
        <v>44461</v>
      </c>
      <c r="F47" s="5">
        <v>6</v>
      </c>
      <c r="G47" s="5">
        <v>6</v>
      </c>
      <c r="H47" s="5">
        <v>8</v>
      </c>
      <c r="I47" s="5">
        <v>4</v>
      </c>
      <c r="J47" s="6">
        <f>SUM(F47:I47)</f>
        <v>24</v>
      </c>
      <c r="K47" s="3" t="str">
        <f>IF(J47&gt;=25,"Qualified","Disqualified")</f>
        <v>Disqualified</v>
      </c>
      <c r="L47" s="3" t="str">
        <f>IF(NOT(J47=0),"Pass","Fail")</f>
        <v>Pass</v>
      </c>
      <c r="M47" s="3" t="str">
        <f t="array" ref="M47">IF(AND(F47:I47&gt;6,J47&gt;=25),"Pass","Fail")</f>
        <v>Fail</v>
      </c>
      <c r="N47" s="3" t="str">
        <f t="array" ref="N47">IF(OR(F47:I47&gt;6,J47&gt;=25),"Pass","Fail")</f>
        <v>Pass</v>
      </c>
      <c r="O47" s="3">
        <f>COUNTIF(F47:I47,"&gt;6")</f>
        <v>1</v>
      </c>
      <c r="P47" s="3" t="str">
        <f>_xlfn.IFS((J47&lt;20),"Need Improvement",(J47=20),"Good",(J47&gt;20),"Very Good",(J47&gt;30),"Excellent")</f>
        <v>Very Good</v>
      </c>
      <c r="Q47" s="40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 x14ac:dyDescent="0.3">
      <c r="A48" s="3" t="s">
        <v>103</v>
      </c>
      <c r="B48" s="3" t="s">
        <v>104</v>
      </c>
      <c r="C48" s="3" t="s">
        <v>69</v>
      </c>
      <c r="D48" s="3" t="s">
        <v>43</v>
      </c>
      <c r="E48" s="4">
        <v>44386</v>
      </c>
      <c r="F48" s="5">
        <v>10</v>
      </c>
      <c r="G48" s="5">
        <v>4</v>
      </c>
      <c r="H48" s="5">
        <v>6</v>
      </c>
      <c r="I48" s="5">
        <v>4</v>
      </c>
      <c r="J48" s="6">
        <f>SUM(F48:I48)</f>
        <v>24</v>
      </c>
      <c r="K48" s="3" t="str">
        <f>IF(J48&gt;=25,"Qualified","Disqualified")</f>
        <v>Disqualified</v>
      </c>
      <c r="L48" s="3" t="str">
        <f>IF(NOT(J48=0),"Pass","Fail")</f>
        <v>Pass</v>
      </c>
      <c r="M48" s="3" t="str">
        <f t="array" ref="M48">IF(AND(F48:I48&gt;6,J48&gt;=25),"Pass","Fail")</f>
        <v>Fail</v>
      </c>
      <c r="N48" s="3" t="str">
        <f t="array" ref="N48">IF(OR(F48:I48&gt;6,J48&gt;=25),"Pass","Fail")</f>
        <v>Pass</v>
      </c>
      <c r="O48" s="3">
        <f>COUNTIF(F48:I48,"&gt;6")</f>
        <v>1</v>
      </c>
      <c r="P48" s="3" t="str">
        <f>_xlfn.IFS((J48&lt;20),"Need Improvement",(J48=20),"Good",(J48&gt;20),"Very Good",(J48&gt;30),"Excellent")</f>
        <v>Very Good</v>
      </c>
      <c r="Q48" s="40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 x14ac:dyDescent="0.3">
      <c r="A49" s="3" t="s">
        <v>115</v>
      </c>
      <c r="B49" s="3" t="s">
        <v>116</v>
      </c>
      <c r="C49" s="3" t="s">
        <v>34</v>
      </c>
      <c r="D49" s="3" t="s">
        <v>26</v>
      </c>
      <c r="E49" s="4">
        <v>44418</v>
      </c>
      <c r="F49" s="5">
        <v>5</v>
      </c>
      <c r="G49" s="5">
        <v>10</v>
      </c>
      <c r="H49" s="5">
        <v>5</v>
      </c>
      <c r="I49" s="5">
        <v>4</v>
      </c>
      <c r="J49" s="6">
        <f>SUM(F49:I49)</f>
        <v>24</v>
      </c>
      <c r="K49" s="3" t="str">
        <f>IF(J49&gt;=25,"Qualified","Disqualified")</f>
        <v>Disqualified</v>
      </c>
      <c r="L49" s="3" t="str">
        <f>IF(NOT(J49=0),"Pass","Fail")</f>
        <v>Pass</v>
      </c>
      <c r="M49" s="3" t="str">
        <f t="array" ref="M49">IF(AND(F49:I49&gt;6,J49&gt;=25),"Pass","Fail")</f>
        <v>Fail</v>
      </c>
      <c r="N49" s="3" t="str">
        <f t="array" ref="N49">IF(OR(F49:I49&gt;6,J49&gt;=25),"Pass","Fail")</f>
        <v>Pass</v>
      </c>
      <c r="O49" s="3">
        <f>COUNTIF(F49:I49,"&gt;6")</f>
        <v>1</v>
      </c>
      <c r="P49" s="3" t="str">
        <f>_xlfn.IFS((J49&lt;20),"Need Improvement",(J49=20),"Good",(J49&gt;20),"Very Good",(J49&gt;30),"Excellent")</f>
        <v>Very Good</v>
      </c>
      <c r="Q49" s="40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 x14ac:dyDescent="0.3">
      <c r="A50" s="3" t="s">
        <v>117</v>
      </c>
      <c r="B50" s="3" t="s">
        <v>118</v>
      </c>
      <c r="C50" s="3" t="s">
        <v>34</v>
      </c>
      <c r="D50" s="3" t="s">
        <v>43</v>
      </c>
      <c r="E50" s="4">
        <v>44351</v>
      </c>
      <c r="F50" s="5">
        <v>4</v>
      </c>
      <c r="G50" s="5">
        <v>8</v>
      </c>
      <c r="H50" s="5">
        <v>7</v>
      </c>
      <c r="I50" s="5">
        <v>5</v>
      </c>
      <c r="J50" s="6">
        <f>SUM(F50:I50)</f>
        <v>24</v>
      </c>
      <c r="K50" s="3" t="str">
        <f>IF(J50&gt;=25,"Qualified","Disqualified")</f>
        <v>Disqualified</v>
      </c>
      <c r="L50" s="3" t="str">
        <f>IF(NOT(J50=0),"Pass","Fail")</f>
        <v>Pass</v>
      </c>
      <c r="M50" s="3" t="str">
        <f t="array" ref="M50">IF(AND(F50:I50&gt;6,J50&gt;=25),"Pass","Fail")</f>
        <v>Fail</v>
      </c>
      <c r="N50" s="3" t="str">
        <f t="array" ref="N50">IF(OR(F50:I50&gt;6,J50&gt;=25),"Pass","Fail")</f>
        <v>Pass</v>
      </c>
      <c r="O50" s="3">
        <f>COUNTIF(F50:I50,"&gt;6")</f>
        <v>2</v>
      </c>
      <c r="P50" s="3" t="str">
        <f>_xlfn.IFS((J50&lt;20),"Need Improvement",(J50=20),"Good",(J50&gt;20),"Very Good",(J50&gt;30),"Excellent")</f>
        <v>Very Good</v>
      </c>
      <c r="Q50" s="40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 x14ac:dyDescent="0.3">
      <c r="A51" s="3" t="s">
        <v>121</v>
      </c>
      <c r="B51" s="3" t="s">
        <v>122</v>
      </c>
      <c r="C51" s="3" t="s">
        <v>34</v>
      </c>
      <c r="D51" s="3" t="s">
        <v>26</v>
      </c>
      <c r="E51" s="4">
        <v>44726</v>
      </c>
      <c r="F51" s="5">
        <v>5</v>
      </c>
      <c r="G51" s="5">
        <v>9</v>
      </c>
      <c r="H51" s="5">
        <v>6</v>
      </c>
      <c r="I51" s="5">
        <v>4</v>
      </c>
      <c r="J51" s="6">
        <f>SUM(F51:I51)</f>
        <v>24</v>
      </c>
      <c r="K51" s="3" t="str">
        <f>IF(J51&gt;=25,"Qualified","Disqualified")</f>
        <v>Disqualified</v>
      </c>
      <c r="L51" s="3" t="str">
        <f>IF(NOT(J51=0),"Pass","Fail")</f>
        <v>Pass</v>
      </c>
      <c r="M51" s="3" t="str">
        <f t="array" ref="M51">IF(AND(F51:I51&gt;6,J51&gt;=25),"Pass","Fail")</f>
        <v>Fail</v>
      </c>
      <c r="N51" s="3" t="str">
        <f t="array" ref="N51">IF(OR(F51:I51&gt;6,J51&gt;=25),"Pass","Fail")</f>
        <v>Pass</v>
      </c>
      <c r="O51" s="3">
        <f>COUNTIF(F51:I51,"&gt;6")</f>
        <v>1</v>
      </c>
      <c r="P51" s="3" t="str">
        <f>_xlfn.IFS((J51&lt;20),"Need Improvement",(J51=20),"Good",(J51&gt;20),"Very Good",(J51&gt;30),"Excellent")</f>
        <v>Very Good</v>
      </c>
      <c r="Q51" s="40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 x14ac:dyDescent="0.3">
      <c r="A52" s="3" t="s">
        <v>149</v>
      </c>
      <c r="B52" s="3" t="s">
        <v>150</v>
      </c>
      <c r="C52" s="3" t="s">
        <v>60</v>
      </c>
      <c r="D52" s="3" t="s">
        <v>31</v>
      </c>
      <c r="E52" s="4">
        <v>44959</v>
      </c>
      <c r="F52" s="5">
        <v>6</v>
      </c>
      <c r="G52" s="5">
        <v>8</v>
      </c>
      <c r="H52" s="5">
        <v>4</v>
      </c>
      <c r="I52" s="5">
        <v>6</v>
      </c>
      <c r="J52" s="6">
        <f>SUM(F52:I52)</f>
        <v>24</v>
      </c>
      <c r="K52" s="3" t="str">
        <f>IF(J52&gt;=25,"Qualified","Disqualified")</f>
        <v>Disqualified</v>
      </c>
      <c r="L52" s="3" t="str">
        <f>IF(NOT(J52=0),"Pass","Fail")</f>
        <v>Pass</v>
      </c>
      <c r="M52" s="3" t="str">
        <f t="array" ref="M52">IF(AND(F52:I52&gt;6,J52&gt;=25),"Pass","Fail")</f>
        <v>Fail</v>
      </c>
      <c r="N52" s="3" t="str">
        <f t="array" ref="N52">IF(OR(F52:I52&gt;6,J52&gt;=25),"Pass","Fail")</f>
        <v>Pass</v>
      </c>
      <c r="O52" s="3">
        <f>COUNTIF(F52:I52,"&gt;6")</f>
        <v>1</v>
      </c>
      <c r="P52" s="3" t="str">
        <f>_xlfn.IFS((J52&lt;20),"Need Improvement",(J52=20),"Good",(J52&gt;20),"Very Good",(J52&gt;30),"Excellent")</f>
        <v>Very Good</v>
      </c>
      <c r="Q52" s="40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 x14ac:dyDescent="0.3">
      <c r="A53" s="3" t="s">
        <v>191</v>
      </c>
      <c r="B53" s="3" t="s">
        <v>192</v>
      </c>
      <c r="C53" s="3" t="s">
        <v>60</v>
      </c>
      <c r="D53" s="3" t="s">
        <v>43</v>
      </c>
      <c r="E53" s="4">
        <v>44673</v>
      </c>
      <c r="F53" s="5">
        <v>4</v>
      </c>
      <c r="G53" s="5">
        <v>9</v>
      </c>
      <c r="H53" s="5">
        <v>4</v>
      </c>
      <c r="I53" s="5">
        <v>7</v>
      </c>
      <c r="J53" s="6">
        <f>SUM(F53:I53)</f>
        <v>24</v>
      </c>
      <c r="K53" s="3" t="str">
        <f>IF(J53&gt;=25,"Qualified","Disqualified")</f>
        <v>Disqualified</v>
      </c>
      <c r="L53" s="3" t="str">
        <f>IF(NOT(J53=0),"Pass","Fail")</f>
        <v>Pass</v>
      </c>
      <c r="M53" s="3" t="str">
        <f t="array" ref="M53">IF(AND(F53:I53&gt;6,J53&gt;=25),"Pass","Fail")</f>
        <v>Fail</v>
      </c>
      <c r="N53" s="3" t="str">
        <f t="array" ref="N53">IF(OR(F53:I53&gt;6,J53&gt;=25),"Pass","Fail")</f>
        <v>Pass</v>
      </c>
      <c r="O53" s="3">
        <f>COUNTIF(F53:I53,"&gt;6")</f>
        <v>2</v>
      </c>
      <c r="P53" s="3" t="str">
        <f>_xlfn.IFS((J53&lt;20),"Need Improvement",(J53=20),"Good",(J53&gt;20),"Very Good",(J53&gt;30),"Excellent")</f>
        <v>Very Good</v>
      </c>
      <c r="Q53" s="40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 x14ac:dyDescent="0.3">
      <c r="A54" s="3" t="s">
        <v>201</v>
      </c>
      <c r="B54" s="3" t="s">
        <v>202</v>
      </c>
      <c r="C54" s="3" t="s">
        <v>25</v>
      </c>
      <c r="D54" s="3" t="s">
        <v>96</v>
      </c>
      <c r="E54" s="4">
        <v>44856</v>
      </c>
      <c r="F54" s="5">
        <v>9</v>
      </c>
      <c r="G54" s="5">
        <v>5</v>
      </c>
      <c r="H54" s="5">
        <v>4</v>
      </c>
      <c r="I54" s="5">
        <v>6</v>
      </c>
      <c r="J54" s="6">
        <f>SUM(F54:I54)</f>
        <v>24</v>
      </c>
      <c r="K54" s="3" t="str">
        <f>IF(J54&gt;=25,"Qualified","Disqualified")</f>
        <v>Disqualified</v>
      </c>
      <c r="L54" s="3" t="str">
        <f>IF(NOT(J54=0),"Pass","Fail")</f>
        <v>Pass</v>
      </c>
      <c r="M54" s="3" t="str">
        <f t="array" ref="M54">IF(AND(F54:I54&gt;6,J54&gt;=25),"Pass","Fail")</f>
        <v>Fail</v>
      </c>
      <c r="N54" s="3" t="str">
        <f t="array" ref="N54">IF(OR(F54:I54&gt;6,J54&gt;=25),"Pass","Fail")</f>
        <v>Pass</v>
      </c>
      <c r="O54" s="3">
        <f>COUNTIF(F54:I54,"&gt;6")</f>
        <v>1</v>
      </c>
      <c r="P54" s="3" t="str">
        <f>_xlfn.IFS((J54&lt;20),"Need Improvement",(J54=20),"Good",(J54&gt;20),"Very Good",(J54&gt;30),"Excellent")</f>
        <v>Very Good</v>
      </c>
      <c r="Q54" s="40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 x14ac:dyDescent="0.3">
      <c r="A55" s="3" t="s">
        <v>209</v>
      </c>
      <c r="B55" s="3" t="s">
        <v>210</v>
      </c>
      <c r="C55" s="3" t="s">
        <v>25</v>
      </c>
      <c r="D55" s="3" t="s">
        <v>26</v>
      </c>
      <c r="E55" s="4">
        <v>44978</v>
      </c>
      <c r="F55" s="5">
        <v>4</v>
      </c>
      <c r="G55" s="5">
        <v>5</v>
      </c>
      <c r="H55" s="5">
        <v>7</v>
      </c>
      <c r="I55" s="5">
        <v>8</v>
      </c>
      <c r="J55" s="6">
        <f>SUM(F55:I55)</f>
        <v>24</v>
      </c>
      <c r="K55" s="3" t="str">
        <f>IF(J55&gt;=25,"Qualified","Disqualified")</f>
        <v>Disqualified</v>
      </c>
      <c r="L55" s="3" t="str">
        <f>IF(NOT(J55=0),"Pass","Fail")</f>
        <v>Pass</v>
      </c>
      <c r="M55" s="3" t="str">
        <f t="array" ref="M55">IF(AND(F55:I55&gt;6,J55&gt;=25),"Pass","Fail")</f>
        <v>Fail</v>
      </c>
      <c r="N55" s="3" t="str">
        <f t="array" ref="N55">IF(OR(F55:I55&gt;6,J55&gt;=25),"Pass","Fail")</f>
        <v>Pass</v>
      </c>
      <c r="O55" s="3">
        <f>COUNTIF(F55:I55,"&gt;6")</f>
        <v>2</v>
      </c>
      <c r="P55" s="3" t="str">
        <f>_xlfn.IFS((J55&lt;20),"Need Improvement",(J55=20),"Good",(J55&gt;20),"Very Good",(J55&gt;30),"Excellent")</f>
        <v>Very Good</v>
      </c>
      <c r="Q55" s="40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 x14ac:dyDescent="0.3">
      <c r="A56" s="3" t="s">
        <v>223</v>
      </c>
      <c r="B56" s="3" t="s">
        <v>224</v>
      </c>
      <c r="C56" s="3" t="s">
        <v>136</v>
      </c>
      <c r="D56" s="3" t="s">
        <v>31</v>
      </c>
      <c r="E56" s="4">
        <v>44504</v>
      </c>
      <c r="F56" s="5">
        <v>4</v>
      </c>
      <c r="G56" s="5">
        <v>8</v>
      </c>
      <c r="H56" s="5">
        <v>5</v>
      </c>
      <c r="I56" s="5">
        <v>7</v>
      </c>
      <c r="J56" s="6">
        <f>SUM(F56:I56)</f>
        <v>24</v>
      </c>
      <c r="K56" s="3" t="str">
        <f>IF(J56&gt;=25,"Qualified","Disqualified")</f>
        <v>Disqualified</v>
      </c>
      <c r="L56" s="3" t="str">
        <f>IF(NOT(J56=0),"Pass","Fail")</f>
        <v>Pass</v>
      </c>
      <c r="M56" s="3" t="str">
        <f t="array" ref="M56">IF(AND(F56:I56&gt;6,J56&gt;=25),"Pass","Fail")</f>
        <v>Fail</v>
      </c>
      <c r="N56" s="3" t="str">
        <f t="array" ref="N56">IF(OR(F56:I56&gt;6,J56&gt;=25),"Pass","Fail")</f>
        <v>Pass</v>
      </c>
      <c r="O56" s="3">
        <f>COUNTIF(F56:I56,"&gt;6")</f>
        <v>2</v>
      </c>
      <c r="P56" s="3" t="str">
        <f>_xlfn.IFS((J56&lt;20),"Need Improvement",(J56=20),"Good",(J56&gt;20),"Very Good",(J56&gt;30),"Excellent")</f>
        <v>Very Good</v>
      </c>
      <c r="Q56" s="40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 x14ac:dyDescent="0.3">
      <c r="A57" s="3" t="s">
        <v>249</v>
      </c>
      <c r="B57" s="3" t="s">
        <v>250</v>
      </c>
      <c r="C57" s="3" t="s">
        <v>25</v>
      </c>
      <c r="D57" s="3" t="s">
        <v>50</v>
      </c>
      <c r="E57" s="4">
        <v>44650</v>
      </c>
      <c r="F57" s="5">
        <v>9</v>
      </c>
      <c r="G57" s="5">
        <v>4</v>
      </c>
      <c r="H57" s="5">
        <v>4</v>
      </c>
      <c r="I57" s="5">
        <v>7</v>
      </c>
      <c r="J57" s="6">
        <f>SUM(F57:I57)</f>
        <v>24</v>
      </c>
      <c r="K57" s="3" t="str">
        <f>IF(J57&gt;=25,"Qualified","Disqualified")</f>
        <v>Disqualified</v>
      </c>
      <c r="L57" s="3" t="str">
        <f>IF(NOT(J57=0),"Pass","Fail")</f>
        <v>Pass</v>
      </c>
      <c r="M57" s="3" t="str">
        <f t="array" ref="M57">IF(AND(F57:I57&gt;6,J57&gt;=25),"Pass","Fail")</f>
        <v>Fail</v>
      </c>
      <c r="N57" s="3" t="str">
        <f t="array" ref="N57">IF(OR(F57:I57&gt;6,J57&gt;=25),"Pass","Fail")</f>
        <v>Pass</v>
      </c>
      <c r="O57" s="3">
        <f>COUNTIF(F57:I57,"&gt;6")</f>
        <v>2</v>
      </c>
      <c r="P57" s="3" t="str">
        <f>_xlfn.IFS((J57&lt;20),"Need Improvement",(J57=20),"Good",(J57&gt;20),"Very Good",(J57&gt;30),"Excellent")</f>
        <v>Very Good</v>
      </c>
      <c r="Q57" s="40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 x14ac:dyDescent="0.3">
      <c r="A58" s="3" t="s">
        <v>294</v>
      </c>
      <c r="B58" s="3" t="s">
        <v>295</v>
      </c>
      <c r="C58" s="3" t="s">
        <v>25</v>
      </c>
      <c r="D58" s="3" t="s">
        <v>129</v>
      </c>
      <c r="E58" s="4">
        <v>44654</v>
      </c>
      <c r="F58" s="5"/>
      <c r="G58" s="5">
        <v>10</v>
      </c>
      <c r="H58" s="5">
        <v>4</v>
      </c>
      <c r="I58" s="5">
        <v>10</v>
      </c>
      <c r="J58" s="6">
        <f>SUM(F58:I58)</f>
        <v>24</v>
      </c>
      <c r="K58" s="3" t="str">
        <f>IF(J58&gt;=25,"Qualified","Disqualified")</f>
        <v>Disqualified</v>
      </c>
      <c r="L58" s="3" t="str">
        <f>IF(NOT(J58=0),"Pass","Fail")</f>
        <v>Pass</v>
      </c>
      <c r="M58" s="3" t="str">
        <f t="array" ref="M58">IF(AND(F58:I58&gt;6,J58&gt;=25),"Pass","Fail")</f>
        <v>Fail</v>
      </c>
      <c r="N58" s="3" t="str">
        <f t="array" ref="N58">IF(OR(F58:I58&gt;6,J58&gt;=25),"Pass","Fail")</f>
        <v>Pass</v>
      </c>
      <c r="O58" s="3">
        <f>COUNTIF(F58:I58,"&gt;6")</f>
        <v>2</v>
      </c>
      <c r="P58" s="3" t="str">
        <f>_xlfn.IFS((J58&lt;20),"Need Improvement",(J58=20),"Good",(J58&gt;20),"Very Good",(J58&gt;30),"Excellent")</f>
        <v>Very Good</v>
      </c>
      <c r="Q58" s="40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 x14ac:dyDescent="0.3">
      <c r="A59" s="3" t="s">
        <v>348</v>
      </c>
      <c r="B59" s="3" t="s">
        <v>349</v>
      </c>
      <c r="C59" s="3" t="s">
        <v>136</v>
      </c>
      <c r="D59" s="3" t="s">
        <v>96</v>
      </c>
      <c r="E59" s="4">
        <v>44478</v>
      </c>
      <c r="F59" s="5">
        <v>8</v>
      </c>
      <c r="G59" s="5">
        <v>6</v>
      </c>
      <c r="H59" s="5">
        <v>4</v>
      </c>
      <c r="I59" s="5">
        <v>6</v>
      </c>
      <c r="J59" s="6">
        <f>SUM(F59:I59)</f>
        <v>24</v>
      </c>
      <c r="K59" s="3" t="str">
        <f>IF(J59&gt;=25,"Qualified","Disqualified")</f>
        <v>Disqualified</v>
      </c>
      <c r="L59" s="3" t="str">
        <f>IF(NOT(J59=0),"Pass","Fail")</f>
        <v>Pass</v>
      </c>
      <c r="M59" s="3" t="str">
        <f t="array" ref="M59">IF(AND(F59:I59&gt;6,J59&gt;=25),"Pass","Fail")</f>
        <v>Fail</v>
      </c>
      <c r="N59" s="3" t="str">
        <f t="array" ref="N59">IF(OR(F59:I59&gt;6,J59&gt;=25),"Pass","Fail")</f>
        <v>Pass</v>
      </c>
      <c r="O59" s="3">
        <f>COUNTIF(F59:I59,"&gt;6")</f>
        <v>1</v>
      </c>
      <c r="P59" s="3" t="str">
        <f>_xlfn.IFS((J59&lt;20),"Need Improvement",(J59=20),"Good",(J59&gt;20),"Very Good",(J59&gt;30),"Excellent")</f>
        <v>Very Good</v>
      </c>
      <c r="Q59" s="40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 x14ac:dyDescent="0.3">
      <c r="A60" s="3" t="s">
        <v>397</v>
      </c>
      <c r="B60" s="3" t="s">
        <v>208</v>
      </c>
      <c r="C60" s="3" t="s">
        <v>25</v>
      </c>
      <c r="D60" s="3" t="s">
        <v>26</v>
      </c>
      <c r="E60" s="4">
        <v>44558</v>
      </c>
      <c r="F60" s="5">
        <v>7</v>
      </c>
      <c r="G60" s="5">
        <v>4</v>
      </c>
      <c r="H60" s="5">
        <v>7</v>
      </c>
      <c r="I60" s="5">
        <v>6</v>
      </c>
      <c r="J60" s="6">
        <f>SUM(F60:I60)</f>
        <v>24</v>
      </c>
      <c r="K60" s="3" t="str">
        <f>IF(J60&gt;=25,"Qualified","Disqualified")</f>
        <v>Disqualified</v>
      </c>
      <c r="L60" s="3" t="str">
        <f>IF(NOT(J60=0),"Pass","Fail")</f>
        <v>Pass</v>
      </c>
      <c r="M60" s="3" t="str">
        <f t="array" ref="M60">IF(AND(F60:I60&gt;6,J60&gt;=25),"Pass","Fail")</f>
        <v>Fail</v>
      </c>
      <c r="N60" s="3" t="str">
        <f t="array" ref="N60">IF(OR(F60:I60&gt;6,J60&gt;=25),"Pass","Fail")</f>
        <v>Pass</v>
      </c>
      <c r="O60" s="3">
        <f>COUNTIF(F60:I60,"&gt;6")</f>
        <v>2</v>
      </c>
      <c r="P60" s="3" t="str">
        <f>_xlfn.IFS((J60&lt;20),"Need Improvement",(J60=20),"Good",(J60&gt;20),"Very Good",(J60&gt;30),"Excellent")</f>
        <v>Very Good</v>
      </c>
      <c r="Q60" s="40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 x14ac:dyDescent="0.3">
      <c r="A61" s="3" t="s">
        <v>402</v>
      </c>
      <c r="B61" s="3" t="s">
        <v>218</v>
      </c>
      <c r="C61" s="3" t="s">
        <v>25</v>
      </c>
      <c r="D61" s="3" t="s">
        <v>50</v>
      </c>
      <c r="E61" s="4">
        <v>44580</v>
      </c>
      <c r="F61" s="5">
        <v>5</v>
      </c>
      <c r="G61" s="5">
        <v>8</v>
      </c>
      <c r="H61" s="5">
        <v>4</v>
      </c>
      <c r="I61" s="5">
        <v>7</v>
      </c>
      <c r="J61" s="6">
        <f>SUM(F61:I61)</f>
        <v>24</v>
      </c>
      <c r="K61" s="3" t="str">
        <f>IF(J61&gt;=25,"Qualified","Disqualified")</f>
        <v>Disqualified</v>
      </c>
      <c r="L61" s="3" t="str">
        <f>IF(NOT(J61=0),"Pass","Fail")</f>
        <v>Pass</v>
      </c>
      <c r="M61" s="3" t="str">
        <f t="array" ref="M61">IF(AND(F61:I61&gt;6,J61&gt;=25),"Pass","Fail")</f>
        <v>Fail</v>
      </c>
      <c r="N61" s="3" t="str">
        <f t="array" ref="N61">IF(OR(F61:I61&gt;6,J61&gt;=25),"Pass","Fail")</f>
        <v>Pass</v>
      </c>
      <c r="O61" s="3">
        <f>COUNTIF(F61:I61,"&gt;6")</f>
        <v>2</v>
      </c>
      <c r="P61" s="3" t="str">
        <f>_xlfn.IFS((J61&lt;20),"Need Improvement",(J61=20),"Good",(J61&gt;20),"Very Good",(J61&gt;30),"Excellent")</f>
        <v>Very Good</v>
      </c>
      <c r="Q61" s="4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 x14ac:dyDescent="0.3">
      <c r="A62" s="3" t="s">
        <v>74</v>
      </c>
      <c r="B62" s="3" t="s">
        <v>75</v>
      </c>
      <c r="C62" s="3" t="s">
        <v>69</v>
      </c>
      <c r="D62" s="3" t="s">
        <v>43</v>
      </c>
      <c r="E62" s="4">
        <v>44939</v>
      </c>
      <c r="F62" s="5">
        <v>10</v>
      </c>
      <c r="G62" s="5">
        <v>5</v>
      </c>
      <c r="H62" s="5">
        <v>6</v>
      </c>
      <c r="I62" s="5">
        <v>4</v>
      </c>
      <c r="J62" s="6">
        <f>SUM(F62:I62)</f>
        <v>25</v>
      </c>
      <c r="K62" s="3" t="str">
        <f>IF(J62&gt;=25,"Qualified","Disqualified")</f>
        <v>Qualified</v>
      </c>
      <c r="L62" s="3" t="str">
        <f>IF(NOT(J62=0),"Pass","Fail")</f>
        <v>Pass</v>
      </c>
      <c r="M62" s="3" t="str">
        <f t="array" ref="M62">IF(AND(F62:I62&gt;6,J62&gt;=25),"Pass","Fail")</f>
        <v>Fail</v>
      </c>
      <c r="N62" s="3" t="str">
        <f t="array" ref="N62">IF(OR(F62:I62&gt;6,J62&gt;=25),"Pass","Fail")</f>
        <v>Pass</v>
      </c>
      <c r="O62" s="3">
        <f>COUNTIF(F62:I62,"&gt;6")</f>
        <v>1</v>
      </c>
      <c r="P62" s="3" t="str">
        <f>_xlfn.IFS((J62&lt;20),"Need Improvement",(J62=20),"Good",(J62&gt;20),"Very Good",(J62&gt;30),"Excellent")</f>
        <v>Very Good</v>
      </c>
      <c r="Q62" s="40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 x14ac:dyDescent="0.3">
      <c r="A63" s="3" t="s">
        <v>86</v>
      </c>
      <c r="B63" s="3" t="s">
        <v>87</v>
      </c>
      <c r="C63" s="3" t="s">
        <v>30</v>
      </c>
      <c r="D63" s="3" t="s">
        <v>43</v>
      </c>
      <c r="E63" s="4">
        <v>44435</v>
      </c>
      <c r="F63" s="5">
        <v>4</v>
      </c>
      <c r="G63" s="5">
        <v>7</v>
      </c>
      <c r="H63" s="5">
        <v>10</v>
      </c>
      <c r="I63" s="5">
        <v>4</v>
      </c>
      <c r="J63" s="6">
        <f>SUM(F63:I63)</f>
        <v>25</v>
      </c>
      <c r="K63" s="3" t="str">
        <f>IF(J63&gt;=25,"Qualified","Disqualified")</f>
        <v>Qualified</v>
      </c>
      <c r="L63" s="3" t="str">
        <f>IF(NOT(J63=0),"Pass","Fail")</f>
        <v>Pass</v>
      </c>
      <c r="M63" s="3" t="str">
        <f t="array" ref="M63">IF(AND(F63:I63&gt;6,J63&gt;=25),"Pass","Fail")</f>
        <v>Fail</v>
      </c>
      <c r="N63" s="3" t="str">
        <f t="array" ref="N63">IF(OR(F63:I63&gt;6,J63&gt;=25),"Pass","Fail")</f>
        <v>Pass</v>
      </c>
      <c r="O63" s="3">
        <f>COUNTIF(F63:I63,"&gt;6")</f>
        <v>2</v>
      </c>
      <c r="P63" s="3" t="str">
        <f>_xlfn.IFS((J63&lt;20),"Need Improvement",(J63=20),"Good",(J63&gt;20),"Very Good",(J63&gt;30),"Excellent")</f>
        <v>Very Good</v>
      </c>
      <c r="Q63" s="40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 x14ac:dyDescent="0.3">
      <c r="A64" s="3" t="s">
        <v>99</v>
      </c>
      <c r="B64" s="3" t="s">
        <v>100</v>
      </c>
      <c r="C64" s="3" t="s">
        <v>90</v>
      </c>
      <c r="D64" s="3" t="s">
        <v>50</v>
      </c>
      <c r="E64" s="4">
        <v>44300</v>
      </c>
      <c r="F64" s="5">
        <v>8</v>
      </c>
      <c r="G64" s="5">
        <v>5</v>
      </c>
      <c r="H64" s="5">
        <v>4</v>
      </c>
      <c r="I64" s="5">
        <v>8</v>
      </c>
      <c r="J64" s="6">
        <f>SUM(F64:I64)</f>
        <v>25</v>
      </c>
      <c r="K64" s="3" t="str">
        <f>IF(J64&gt;=25,"Qualified","Disqualified")</f>
        <v>Qualified</v>
      </c>
      <c r="L64" s="3" t="str">
        <f>IF(NOT(J64=0),"Pass","Fail")</f>
        <v>Pass</v>
      </c>
      <c r="M64" s="3" t="str">
        <f t="array" ref="M64">IF(AND(F64:I64&gt;6,J64&gt;=25),"Pass","Fail")</f>
        <v>Fail</v>
      </c>
      <c r="N64" s="3" t="str">
        <f t="array" ref="N64">IF(OR(F64:I64&gt;6,J64&gt;=25),"Pass","Fail")</f>
        <v>Pass</v>
      </c>
      <c r="O64" s="3">
        <f>COUNTIF(F64:I64,"&gt;6")</f>
        <v>2</v>
      </c>
      <c r="P64" s="3" t="str">
        <f>_xlfn.IFS((J64&lt;20),"Need Improvement",(J64=20),"Good",(J64&gt;20),"Very Good",(J64&gt;30),"Excellent")</f>
        <v>Very Good</v>
      </c>
      <c r="Q64" s="40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 x14ac:dyDescent="0.3">
      <c r="A65" s="3" t="s">
        <v>123</v>
      </c>
      <c r="B65" s="3" t="s">
        <v>124</v>
      </c>
      <c r="C65" s="3" t="s">
        <v>34</v>
      </c>
      <c r="D65" s="3" t="s">
        <v>96</v>
      </c>
      <c r="E65" s="4">
        <v>44737</v>
      </c>
      <c r="F65" s="5">
        <v>5</v>
      </c>
      <c r="G65" s="5">
        <v>6</v>
      </c>
      <c r="H65" s="5">
        <v>6</v>
      </c>
      <c r="I65" s="5">
        <v>8</v>
      </c>
      <c r="J65" s="6">
        <f>SUM(F65:I65)</f>
        <v>25</v>
      </c>
      <c r="K65" s="3" t="str">
        <f>IF(J65&gt;=25,"Qualified","Disqualified")</f>
        <v>Qualified</v>
      </c>
      <c r="L65" s="3" t="str">
        <f>IF(NOT(J65=0),"Pass","Fail")</f>
        <v>Pass</v>
      </c>
      <c r="M65" s="3" t="str">
        <f t="array" ref="M65">IF(AND(F65:I65&gt;6,J65&gt;=25),"Pass","Fail")</f>
        <v>Fail</v>
      </c>
      <c r="N65" s="3" t="str">
        <f t="array" ref="N65">IF(OR(F65:I65&gt;6,J65&gt;=25),"Pass","Fail")</f>
        <v>Pass</v>
      </c>
      <c r="O65" s="3">
        <f>COUNTIF(F65:I65,"&gt;6")</f>
        <v>1</v>
      </c>
      <c r="P65" s="3" t="str">
        <f>_xlfn.IFS((J65&lt;20),"Need Improvement",(J65=20),"Good",(J65&gt;20),"Very Good",(J65&gt;30),"Excellent")</f>
        <v>Very Good</v>
      </c>
      <c r="Q65" s="40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 x14ac:dyDescent="0.3">
      <c r="A66" s="3" t="s">
        <v>171</v>
      </c>
      <c r="B66" s="3" t="s">
        <v>172</v>
      </c>
      <c r="C66" s="3" t="s">
        <v>25</v>
      </c>
      <c r="D66" s="3" t="s">
        <v>96</v>
      </c>
      <c r="E66" s="4">
        <v>44835</v>
      </c>
      <c r="F66" s="5">
        <v>9</v>
      </c>
      <c r="G66" s="5">
        <v>8</v>
      </c>
      <c r="H66" s="5">
        <v>4</v>
      </c>
      <c r="I66" s="5">
        <v>4</v>
      </c>
      <c r="J66" s="6">
        <f>SUM(F66:I66)</f>
        <v>25</v>
      </c>
      <c r="K66" s="3" t="str">
        <f>IF(J66&gt;=25,"Qualified","Disqualified")</f>
        <v>Qualified</v>
      </c>
      <c r="L66" s="3" t="str">
        <f>IF(NOT(J66=0),"Pass","Fail")</f>
        <v>Pass</v>
      </c>
      <c r="M66" s="3" t="str">
        <f t="array" ref="M66">IF(AND(F66:I66&gt;6,J66&gt;=25),"Pass","Fail")</f>
        <v>Fail</v>
      </c>
      <c r="N66" s="3" t="str">
        <f t="array" ref="N66">IF(OR(F66:I66&gt;6,J66&gt;=25),"Pass","Fail")</f>
        <v>Pass</v>
      </c>
      <c r="O66" s="3">
        <f>COUNTIF(F66:I66,"&gt;6")</f>
        <v>2</v>
      </c>
      <c r="P66" s="3" t="str">
        <f>_xlfn.IFS((J66&lt;20),"Need Improvement",(J66=20),"Good",(J66&gt;20),"Very Good",(J66&gt;30),"Excellent")</f>
        <v>Very Good</v>
      </c>
      <c r="Q66" s="40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 x14ac:dyDescent="0.3">
      <c r="A67" s="3" t="s">
        <v>267</v>
      </c>
      <c r="B67" s="3" t="s">
        <v>268</v>
      </c>
      <c r="C67" s="3" t="s">
        <v>136</v>
      </c>
      <c r="D67" s="3" t="s">
        <v>43</v>
      </c>
      <c r="E67" s="4">
        <v>44694</v>
      </c>
      <c r="F67" s="5">
        <v>6</v>
      </c>
      <c r="G67" s="5">
        <v>7</v>
      </c>
      <c r="H67" s="5">
        <v>4</v>
      </c>
      <c r="I67" s="5">
        <v>8</v>
      </c>
      <c r="J67" s="6">
        <f>SUM(F67:I67)</f>
        <v>25</v>
      </c>
      <c r="K67" s="3" t="str">
        <f>IF(J67&gt;=25,"Qualified","Disqualified")</f>
        <v>Qualified</v>
      </c>
      <c r="L67" s="3" t="str">
        <f>IF(NOT(J67=0),"Pass","Fail")</f>
        <v>Pass</v>
      </c>
      <c r="M67" s="3" t="str">
        <f t="array" ref="M67">IF(AND(F67:I67&gt;6,J67&gt;=25),"Pass","Fail")</f>
        <v>Fail</v>
      </c>
      <c r="N67" s="3" t="str">
        <f t="array" ref="N67">IF(OR(F67:I67&gt;6,J67&gt;=25),"Pass","Fail")</f>
        <v>Pass</v>
      </c>
      <c r="O67" s="3">
        <f>COUNTIF(F67:I67,"&gt;6")</f>
        <v>2</v>
      </c>
      <c r="P67" s="3" t="str">
        <f>_xlfn.IFS((J67&lt;20),"Need Improvement",(J67=20),"Good",(J67&gt;20),"Very Good",(J67&gt;30),"Excellent")</f>
        <v>Very Good</v>
      </c>
      <c r="Q67" s="40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 x14ac:dyDescent="0.3">
      <c r="A68" s="3" t="s">
        <v>269</v>
      </c>
      <c r="B68" s="3" t="s">
        <v>270</v>
      </c>
      <c r="C68" s="3" t="s">
        <v>69</v>
      </c>
      <c r="D68" s="3" t="s">
        <v>50</v>
      </c>
      <c r="E68" s="4">
        <v>44531</v>
      </c>
      <c r="F68" s="5">
        <v>6</v>
      </c>
      <c r="G68" s="5">
        <v>7</v>
      </c>
      <c r="H68" s="5">
        <v>5</v>
      </c>
      <c r="I68" s="5">
        <v>7</v>
      </c>
      <c r="J68" s="6">
        <f>SUM(F68:I68)</f>
        <v>25</v>
      </c>
      <c r="K68" s="3" t="str">
        <f>IF(J68&gt;=25,"Qualified","Disqualified")</f>
        <v>Qualified</v>
      </c>
      <c r="L68" s="3" t="str">
        <f>IF(NOT(J68=0),"Pass","Fail")</f>
        <v>Pass</v>
      </c>
      <c r="M68" s="3" t="str">
        <f t="array" ref="M68">IF(AND(F68:I68&gt;6,J68&gt;=25),"Pass","Fail")</f>
        <v>Fail</v>
      </c>
      <c r="N68" s="3" t="str">
        <f t="array" ref="N68">IF(OR(F68:I68&gt;6,J68&gt;=25),"Pass","Fail")</f>
        <v>Pass</v>
      </c>
      <c r="O68" s="3">
        <f>COUNTIF(F68:I68,"&gt;6")</f>
        <v>2</v>
      </c>
      <c r="P68" s="3" t="str">
        <f>_xlfn.IFS((J68&lt;20),"Need Improvement",(J68=20),"Good",(J68&gt;20),"Very Good",(J68&gt;30),"Excellent")</f>
        <v>Very Good</v>
      </c>
      <c r="Q68" s="40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3">
      <c r="A69" s="3" t="s">
        <v>277</v>
      </c>
      <c r="B69" s="3" t="s">
        <v>278</v>
      </c>
      <c r="C69" s="3" t="s">
        <v>60</v>
      </c>
      <c r="D69" s="3" t="s">
        <v>43</v>
      </c>
      <c r="E69" s="4">
        <v>44883</v>
      </c>
      <c r="F69" s="5">
        <v>5</v>
      </c>
      <c r="G69" s="5">
        <v>4</v>
      </c>
      <c r="H69" s="5">
        <v>8</v>
      </c>
      <c r="I69" s="5">
        <v>8</v>
      </c>
      <c r="J69" s="6">
        <f>SUM(F69:I69)</f>
        <v>25</v>
      </c>
      <c r="K69" s="3" t="str">
        <f>IF(J69&gt;=25,"Qualified","Disqualified")</f>
        <v>Qualified</v>
      </c>
      <c r="L69" s="3" t="str">
        <f>IF(NOT(J69=0),"Pass","Fail")</f>
        <v>Pass</v>
      </c>
      <c r="M69" s="3" t="str">
        <f t="array" ref="M69">IF(AND(F69:I69&gt;6,J69&gt;=25),"Pass","Fail")</f>
        <v>Fail</v>
      </c>
      <c r="N69" s="3" t="str">
        <f t="array" ref="N69">IF(OR(F69:I69&gt;6,J69&gt;=25),"Pass","Fail")</f>
        <v>Pass</v>
      </c>
      <c r="O69" s="3">
        <f>COUNTIF(F69:I69,"&gt;6")</f>
        <v>2</v>
      </c>
      <c r="P69" s="3" t="str">
        <f>_xlfn.IFS((J69&lt;20),"Need Improvement",(J69=20),"Good",(J69&gt;20),"Very Good",(J69&gt;30),"Excellent")</f>
        <v>Very Good</v>
      </c>
      <c r="Q69" s="40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 x14ac:dyDescent="0.3">
      <c r="A70" s="3" t="s">
        <v>296</v>
      </c>
      <c r="B70" s="3" t="s">
        <v>297</v>
      </c>
      <c r="C70" s="3" t="s">
        <v>25</v>
      </c>
      <c r="D70" s="3" t="s">
        <v>50</v>
      </c>
      <c r="E70" s="4">
        <v>44937</v>
      </c>
      <c r="F70" s="5">
        <v>4</v>
      </c>
      <c r="G70" s="5">
        <v>7</v>
      </c>
      <c r="H70" s="5">
        <v>7</v>
      </c>
      <c r="I70" s="5">
        <v>7</v>
      </c>
      <c r="J70" s="6">
        <f>SUM(F70:I70)</f>
        <v>25</v>
      </c>
      <c r="K70" s="3" t="str">
        <f>IF(J70&gt;=25,"Qualified","Disqualified")</f>
        <v>Qualified</v>
      </c>
      <c r="L70" s="3" t="str">
        <f>IF(NOT(J70=0),"Pass","Fail")</f>
        <v>Pass</v>
      </c>
      <c r="M70" s="3" t="str">
        <f t="array" ref="M70">IF(AND(F70:I70&gt;6,J70&gt;=25),"Pass","Fail")</f>
        <v>Fail</v>
      </c>
      <c r="N70" s="3" t="str">
        <f t="array" ref="N70">IF(OR(F70:I70&gt;6,J70&gt;=25),"Pass","Fail")</f>
        <v>Pass</v>
      </c>
      <c r="O70" s="3">
        <f>COUNTIF(F70:I70,"&gt;6")</f>
        <v>3</v>
      </c>
      <c r="P70" s="3" t="str">
        <f>_xlfn.IFS((J70&lt;20),"Need Improvement",(J70=20),"Good",(J70&gt;20),"Very Good",(J70&gt;30),"Excellent")</f>
        <v>Very Good</v>
      </c>
      <c r="Q70" s="40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 x14ac:dyDescent="0.3">
      <c r="A71" s="3" t="s">
        <v>336</v>
      </c>
      <c r="B71" s="3" t="s">
        <v>337</v>
      </c>
      <c r="C71" s="3" t="s">
        <v>25</v>
      </c>
      <c r="D71" s="3" t="s">
        <v>26</v>
      </c>
      <c r="E71" s="4">
        <v>44383</v>
      </c>
      <c r="F71" s="5">
        <v>6</v>
      </c>
      <c r="G71" s="5">
        <v>9</v>
      </c>
      <c r="H71" s="5">
        <v>4</v>
      </c>
      <c r="I71" s="5">
        <v>6</v>
      </c>
      <c r="J71" s="6">
        <f>SUM(F71:I71)</f>
        <v>25</v>
      </c>
      <c r="K71" s="3" t="str">
        <f>IF(J71&gt;=25,"Qualified","Disqualified")</f>
        <v>Qualified</v>
      </c>
      <c r="L71" s="3" t="str">
        <f>IF(NOT(J71=0),"Pass","Fail")</f>
        <v>Pass</v>
      </c>
      <c r="M71" s="3" t="str">
        <f t="array" ref="M71">IF(AND(F71:I71&gt;6,J71&gt;=25),"Pass","Fail")</f>
        <v>Fail</v>
      </c>
      <c r="N71" s="3" t="str">
        <f t="array" ref="N71">IF(OR(F71:I71&gt;6,J71&gt;=25),"Pass","Fail")</f>
        <v>Pass</v>
      </c>
      <c r="O71" s="3">
        <f>COUNTIF(F71:I71,"&gt;6")</f>
        <v>1</v>
      </c>
      <c r="P71" s="3" t="str">
        <f>_xlfn.IFS((J71&lt;20),"Need Improvement",(J71=20),"Good",(J71&gt;20),"Very Good",(J71&gt;30),"Excellent")</f>
        <v>Very Good</v>
      </c>
      <c r="Q71" s="40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 x14ac:dyDescent="0.3">
      <c r="A72" s="3" t="s">
        <v>376</v>
      </c>
      <c r="B72" s="3" t="s">
        <v>377</v>
      </c>
      <c r="C72" s="3" t="s">
        <v>25</v>
      </c>
      <c r="D72" s="3" t="s">
        <v>31</v>
      </c>
      <c r="E72" s="4">
        <v>44840</v>
      </c>
      <c r="F72" s="5"/>
      <c r="G72" s="5">
        <v>6</v>
      </c>
      <c r="H72" s="5">
        <v>9</v>
      </c>
      <c r="I72" s="5">
        <v>10</v>
      </c>
      <c r="J72" s="6">
        <f>SUM(F72:I72)</f>
        <v>25</v>
      </c>
      <c r="K72" s="3" t="str">
        <f>IF(J72&gt;=25,"Qualified","Disqualified")</f>
        <v>Qualified</v>
      </c>
      <c r="L72" s="3" t="str">
        <f>IF(NOT(J72=0),"Pass","Fail")</f>
        <v>Pass</v>
      </c>
      <c r="M72" s="3" t="str">
        <f t="array" ref="M72">IF(AND(F72:I72&gt;6,J72&gt;=25),"Pass","Fail")</f>
        <v>Fail</v>
      </c>
      <c r="N72" s="3" t="str">
        <f t="array" ref="N72">IF(OR(F72:I72&gt;6,J72&gt;=25),"Pass","Fail")</f>
        <v>Pass</v>
      </c>
      <c r="O72" s="3">
        <f>COUNTIF(F72:I72,"&gt;6")</f>
        <v>2</v>
      </c>
      <c r="P72" s="3" t="str">
        <f>_xlfn.IFS((J72&lt;20),"Need Improvement",(J72=20),"Good",(J72&gt;20),"Very Good",(J72&gt;30),"Excellent")</f>
        <v>Very Good</v>
      </c>
      <c r="Q72" s="40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 x14ac:dyDescent="0.3">
      <c r="A73" s="3" t="s">
        <v>386</v>
      </c>
      <c r="B73" s="3" t="s">
        <v>186</v>
      </c>
      <c r="C73" s="3" t="s">
        <v>136</v>
      </c>
      <c r="D73" s="3" t="s">
        <v>50</v>
      </c>
      <c r="E73" s="4">
        <v>44713</v>
      </c>
      <c r="F73" s="5">
        <v>6</v>
      </c>
      <c r="G73" s="5">
        <v>4</v>
      </c>
      <c r="H73" s="5">
        <v>8</v>
      </c>
      <c r="I73" s="5">
        <v>7</v>
      </c>
      <c r="J73" s="6">
        <f>SUM(F73:I73)</f>
        <v>25</v>
      </c>
      <c r="K73" s="3" t="str">
        <f>IF(J73&gt;=25,"Qualified","Disqualified")</f>
        <v>Qualified</v>
      </c>
      <c r="L73" s="3" t="str">
        <f>IF(NOT(J73=0),"Pass","Fail")</f>
        <v>Pass</v>
      </c>
      <c r="M73" s="3" t="str">
        <f t="array" ref="M73">IF(AND(F73:I73&gt;6,J73&gt;=25),"Pass","Fail")</f>
        <v>Fail</v>
      </c>
      <c r="N73" s="3" t="str">
        <f t="array" ref="N73">IF(OR(F73:I73&gt;6,J73&gt;=25),"Pass","Fail")</f>
        <v>Pass</v>
      </c>
      <c r="O73" s="3">
        <f>COUNTIF(F73:I73,"&gt;6")</f>
        <v>2</v>
      </c>
      <c r="P73" s="3" t="str">
        <f>_xlfn.IFS((J73&lt;20),"Need Improvement",(J73=20),"Good",(J73&gt;20),"Very Good",(J73&gt;30),"Excellent")</f>
        <v>Very Good</v>
      </c>
      <c r="Q73" s="40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 x14ac:dyDescent="0.3">
      <c r="A74" s="3" t="s">
        <v>392</v>
      </c>
      <c r="B74" s="3" t="s">
        <v>198</v>
      </c>
      <c r="C74" s="3" t="s">
        <v>60</v>
      </c>
      <c r="D74" s="3" t="s">
        <v>56</v>
      </c>
      <c r="E74" s="4">
        <v>44396</v>
      </c>
      <c r="F74" s="5">
        <v>6</v>
      </c>
      <c r="G74" s="5">
        <v>8</v>
      </c>
      <c r="H74" s="5">
        <v>7</v>
      </c>
      <c r="I74" s="5">
        <v>4</v>
      </c>
      <c r="J74" s="6">
        <f>SUM(F74:I74)</f>
        <v>25</v>
      </c>
      <c r="K74" s="3" t="str">
        <f>IF(J74&gt;=25,"Qualified","Disqualified")</f>
        <v>Qualified</v>
      </c>
      <c r="L74" s="3" t="str">
        <f>IF(NOT(J74=0),"Pass","Fail")</f>
        <v>Pass</v>
      </c>
      <c r="M74" s="3" t="str">
        <f t="array" ref="M74">IF(AND(F74:I74&gt;6,J74&gt;=25),"Pass","Fail")</f>
        <v>Fail</v>
      </c>
      <c r="N74" s="3" t="str">
        <f t="array" ref="N74">IF(OR(F74:I74&gt;6,J74&gt;=25),"Pass","Fail")</f>
        <v>Pass</v>
      </c>
      <c r="O74" s="3">
        <f>COUNTIF(F74:I74,"&gt;6")</f>
        <v>2</v>
      </c>
      <c r="P74" s="3" t="str">
        <f>_xlfn.IFS((J74&lt;20),"Need Improvement",(J74=20),"Good",(J74&gt;20),"Very Good",(J74&gt;30),"Excellent")</f>
        <v>Very Good</v>
      </c>
      <c r="Q74" s="40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 x14ac:dyDescent="0.3">
      <c r="A75" s="3" t="s">
        <v>409</v>
      </c>
      <c r="B75" s="3" t="s">
        <v>232</v>
      </c>
      <c r="C75" s="3" t="s">
        <v>69</v>
      </c>
      <c r="D75" s="3" t="s">
        <v>43</v>
      </c>
      <c r="E75" s="4">
        <v>44995</v>
      </c>
      <c r="F75" s="5">
        <v>4</v>
      </c>
      <c r="G75" s="5">
        <v>7</v>
      </c>
      <c r="H75" s="5">
        <v>4</v>
      </c>
      <c r="I75" s="5">
        <v>10</v>
      </c>
      <c r="J75" s="6">
        <f>SUM(F75:I75)</f>
        <v>25</v>
      </c>
      <c r="K75" s="3" t="str">
        <f>IF(J75&gt;=25,"Qualified","Disqualified")</f>
        <v>Qualified</v>
      </c>
      <c r="L75" s="3" t="str">
        <f>IF(NOT(J75=0),"Pass","Fail")</f>
        <v>Pass</v>
      </c>
      <c r="M75" s="3" t="str">
        <f t="array" ref="M75">IF(AND(F75:I75&gt;6,J75&gt;=25),"Pass","Fail")</f>
        <v>Fail</v>
      </c>
      <c r="N75" s="3" t="str">
        <f t="array" ref="N75">IF(OR(F75:I75&gt;6,J75&gt;=25),"Pass","Fail")</f>
        <v>Pass</v>
      </c>
      <c r="O75" s="3">
        <f>COUNTIF(F75:I75,"&gt;6")</f>
        <v>2</v>
      </c>
      <c r="P75" s="3" t="str">
        <f>_xlfn.IFS((J75&lt;20),"Need Improvement",(J75=20),"Good",(J75&gt;20),"Very Good",(J75&gt;30),"Excellent")</f>
        <v>Very Good</v>
      </c>
      <c r="Q75" s="40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 x14ac:dyDescent="0.3">
      <c r="A76" s="3" t="s">
        <v>414</v>
      </c>
      <c r="B76" s="3" t="s">
        <v>242</v>
      </c>
      <c r="C76" s="3" t="s">
        <v>60</v>
      </c>
      <c r="D76" s="3" t="s">
        <v>129</v>
      </c>
      <c r="E76" s="4">
        <v>44703</v>
      </c>
      <c r="F76" s="5">
        <v>6</v>
      </c>
      <c r="G76" s="5">
        <v>5</v>
      </c>
      <c r="H76" s="5">
        <v>4</v>
      </c>
      <c r="I76" s="5">
        <v>10</v>
      </c>
      <c r="J76" s="6">
        <f>SUM(F76:I76)</f>
        <v>25</v>
      </c>
      <c r="K76" s="3" t="str">
        <f>IF(J76&gt;=25,"Qualified","Disqualified")</f>
        <v>Qualified</v>
      </c>
      <c r="L76" s="3" t="str">
        <f>IF(NOT(J76=0),"Pass","Fail")</f>
        <v>Pass</v>
      </c>
      <c r="M76" s="3" t="str">
        <f t="array" ref="M76">IF(AND(F76:I76&gt;6,J76&gt;=25),"Pass","Fail")</f>
        <v>Fail</v>
      </c>
      <c r="N76" s="3" t="str">
        <f t="array" ref="N76">IF(OR(F76:I76&gt;6,J76&gt;=25),"Pass","Fail")</f>
        <v>Pass</v>
      </c>
      <c r="O76" s="3">
        <f>COUNTIF(F76:I76,"&gt;6")</f>
        <v>1</v>
      </c>
      <c r="P76" s="3" t="str">
        <f>_xlfn.IFS((J76&lt;20),"Need Improvement",(J76=20),"Good",(J76&gt;20),"Very Good",(J76&gt;30),"Excellent")</f>
        <v>Very Good</v>
      </c>
      <c r="Q76" s="4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 x14ac:dyDescent="0.3">
      <c r="A77" s="3" t="s">
        <v>125</v>
      </c>
      <c r="B77" s="3" t="s">
        <v>126</v>
      </c>
      <c r="C77" s="3" t="s">
        <v>90</v>
      </c>
      <c r="D77" s="3" t="s">
        <v>56</v>
      </c>
      <c r="E77" s="4">
        <v>44382</v>
      </c>
      <c r="F77" s="5">
        <v>10</v>
      </c>
      <c r="G77" s="5">
        <v>4</v>
      </c>
      <c r="H77" s="5">
        <v>7</v>
      </c>
      <c r="I77" s="5">
        <v>5</v>
      </c>
      <c r="J77" s="6">
        <f>SUM(F77:I77)</f>
        <v>26</v>
      </c>
      <c r="K77" s="3" t="str">
        <f>IF(J77&gt;=25,"Qualified","Disqualified")</f>
        <v>Qualified</v>
      </c>
      <c r="L77" s="3" t="str">
        <f>IF(NOT(J77=0),"Pass","Fail")</f>
        <v>Pass</v>
      </c>
      <c r="M77" s="3" t="str">
        <f t="array" ref="M77">IF(AND(F77:I77&gt;6,J77&gt;=25),"Pass","Fail")</f>
        <v>Fail</v>
      </c>
      <c r="N77" s="3" t="str">
        <f t="array" ref="N77">IF(OR(F77:I77&gt;6,J77&gt;=25),"Pass","Fail")</f>
        <v>Pass</v>
      </c>
      <c r="O77" s="3">
        <f>COUNTIF(F77:I77,"&gt;6")</f>
        <v>2</v>
      </c>
      <c r="P77" s="3" t="str">
        <f>_xlfn.IFS((J77&lt;20),"Need Improvement",(J77=20),"Good",(J77&gt;20),"Very Good",(J77&gt;30),"Excellent")</f>
        <v>Very Good</v>
      </c>
      <c r="Q77" s="40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 x14ac:dyDescent="0.3">
      <c r="A78" s="3" t="s">
        <v>132</v>
      </c>
      <c r="B78" s="3" t="s">
        <v>133</v>
      </c>
      <c r="C78" s="3" t="s">
        <v>90</v>
      </c>
      <c r="D78" s="3" t="s">
        <v>43</v>
      </c>
      <c r="E78" s="4">
        <v>44561</v>
      </c>
      <c r="F78" s="5">
        <v>5</v>
      </c>
      <c r="G78" s="5">
        <v>7</v>
      </c>
      <c r="H78" s="5">
        <v>6</v>
      </c>
      <c r="I78" s="5">
        <v>8</v>
      </c>
      <c r="J78" s="6">
        <f>SUM(F78:I78)</f>
        <v>26</v>
      </c>
      <c r="K78" s="3" t="str">
        <f>IF(J78&gt;=25,"Qualified","Disqualified")</f>
        <v>Qualified</v>
      </c>
      <c r="L78" s="3" t="str">
        <f>IF(NOT(J78=0),"Pass","Fail")</f>
        <v>Pass</v>
      </c>
      <c r="M78" s="3" t="str">
        <f t="array" ref="M78">IF(AND(F78:I78&gt;6,J78&gt;=25),"Pass","Fail")</f>
        <v>Fail</v>
      </c>
      <c r="N78" s="3" t="str">
        <f t="array" ref="N78">IF(OR(F78:I78&gt;6,J78&gt;=25),"Pass","Fail")</f>
        <v>Pass</v>
      </c>
      <c r="O78" s="3">
        <f>COUNTIF(F78:I78,"&gt;6")</f>
        <v>2</v>
      </c>
      <c r="P78" s="3" t="str">
        <f>_xlfn.IFS((J78&lt;20),"Need Improvement",(J78=20),"Good",(J78&gt;20),"Very Good",(J78&gt;30),"Excellent")</f>
        <v>Very Good</v>
      </c>
      <c r="Q78" s="40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 x14ac:dyDescent="0.3">
      <c r="A79" s="3" t="s">
        <v>134</v>
      </c>
      <c r="B79" s="3" t="s">
        <v>135</v>
      </c>
      <c r="C79" s="3" t="s">
        <v>136</v>
      </c>
      <c r="D79" s="3" t="s">
        <v>50</v>
      </c>
      <c r="E79" s="4">
        <v>44552</v>
      </c>
      <c r="F79" s="5">
        <v>5</v>
      </c>
      <c r="G79" s="5">
        <v>9</v>
      </c>
      <c r="H79" s="5">
        <v>5</v>
      </c>
      <c r="I79" s="5">
        <v>7</v>
      </c>
      <c r="J79" s="6">
        <f>SUM(F79:I79)</f>
        <v>26</v>
      </c>
      <c r="K79" s="3" t="str">
        <f>IF(J79&gt;=25,"Qualified","Disqualified")</f>
        <v>Qualified</v>
      </c>
      <c r="L79" s="3" t="str">
        <f>IF(NOT(J79=0),"Pass","Fail")</f>
        <v>Pass</v>
      </c>
      <c r="M79" s="3" t="str">
        <f t="array" ref="M79">IF(AND(F79:I79&gt;6,J79&gt;=25),"Pass","Fail")</f>
        <v>Fail</v>
      </c>
      <c r="N79" s="3" t="str">
        <f t="array" ref="N79">IF(OR(F79:I79&gt;6,J79&gt;=25),"Pass","Fail")</f>
        <v>Pass</v>
      </c>
      <c r="O79" s="3">
        <f>COUNTIF(F79:I79,"&gt;6")</f>
        <v>2</v>
      </c>
      <c r="P79" s="3" t="str">
        <f>_xlfn.IFS((J79&lt;20),"Need Improvement",(J79=20),"Good",(J79&gt;20),"Very Good",(J79&gt;30),"Excellent")</f>
        <v>Very Good</v>
      </c>
      <c r="Q79" s="40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 x14ac:dyDescent="0.3">
      <c r="A80" s="3" t="s">
        <v>151</v>
      </c>
      <c r="B80" s="3" t="s">
        <v>152</v>
      </c>
      <c r="C80" s="3" t="s">
        <v>60</v>
      </c>
      <c r="D80" s="3" t="s">
        <v>56</v>
      </c>
      <c r="E80" s="4">
        <v>44375</v>
      </c>
      <c r="F80" s="5">
        <v>9</v>
      </c>
      <c r="G80" s="5">
        <v>4</v>
      </c>
      <c r="H80" s="5">
        <v>5</v>
      </c>
      <c r="I80" s="5">
        <v>8</v>
      </c>
      <c r="J80" s="6">
        <f>SUM(F80:I80)</f>
        <v>26</v>
      </c>
      <c r="K80" s="3" t="str">
        <f>IF(J80&gt;=25,"Qualified","Disqualified")</f>
        <v>Qualified</v>
      </c>
      <c r="L80" s="3" t="str">
        <f>IF(NOT(J80=0),"Pass","Fail")</f>
        <v>Pass</v>
      </c>
      <c r="M80" s="3" t="str">
        <f t="array" ref="M80">IF(AND(F80:I80&gt;6,J80&gt;=25),"Pass","Fail")</f>
        <v>Fail</v>
      </c>
      <c r="N80" s="3" t="str">
        <f t="array" ref="N80">IF(OR(F80:I80&gt;6,J80&gt;=25),"Pass","Fail")</f>
        <v>Pass</v>
      </c>
      <c r="O80" s="3">
        <f>COUNTIF(F80:I80,"&gt;6")</f>
        <v>2</v>
      </c>
      <c r="P80" s="3" t="str">
        <f>_xlfn.IFS((J80&lt;20),"Need Improvement",(J80=20),"Good",(J80&gt;20),"Very Good",(J80&gt;30),"Excellent")</f>
        <v>Very Good</v>
      </c>
      <c r="Q80" s="40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 x14ac:dyDescent="0.3">
      <c r="A81" s="3" t="s">
        <v>227</v>
      </c>
      <c r="B81" s="3" t="s">
        <v>228</v>
      </c>
      <c r="C81" s="3" t="s">
        <v>69</v>
      </c>
      <c r="D81" s="3" t="s">
        <v>50</v>
      </c>
      <c r="E81" s="4">
        <v>45014</v>
      </c>
      <c r="F81" s="5">
        <v>5</v>
      </c>
      <c r="G81" s="5">
        <v>6</v>
      </c>
      <c r="H81" s="5">
        <v>6</v>
      </c>
      <c r="I81" s="5">
        <v>9</v>
      </c>
      <c r="J81" s="6">
        <f>SUM(F81:I81)</f>
        <v>26</v>
      </c>
      <c r="K81" s="3" t="str">
        <f>IF(J81&gt;=25,"Qualified","Disqualified")</f>
        <v>Qualified</v>
      </c>
      <c r="L81" s="3" t="str">
        <f>IF(NOT(J81=0),"Pass","Fail")</f>
        <v>Pass</v>
      </c>
      <c r="M81" s="3" t="str">
        <f t="array" ref="M81">IF(AND(F81:I81&gt;6,J81&gt;=25),"Pass","Fail")</f>
        <v>Fail</v>
      </c>
      <c r="N81" s="3" t="str">
        <f t="array" ref="N81">IF(OR(F81:I81&gt;6,J81&gt;=25),"Pass","Fail")</f>
        <v>Pass</v>
      </c>
      <c r="O81" s="3">
        <f>COUNTIF(F81:I81,"&gt;6")</f>
        <v>1</v>
      </c>
      <c r="P81" s="3" t="str">
        <f>_xlfn.IFS((J81&lt;20),"Need Improvement",(J81=20),"Good",(J81&gt;20),"Very Good",(J81&gt;30),"Excellent")</f>
        <v>Very Good</v>
      </c>
      <c r="Q81" s="40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 x14ac:dyDescent="0.3">
      <c r="A82" s="3" t="s">
        <v>330</v>
      </c>
      <c r="B82" s="3" t="s">
        <v>331</v>
      </c>
      <c r="C82" s="3" t="s">
        <v>25</v>
      </c>
      <c r="D82" s="3" t="s">
        <v>31</v>
      </c>
      <c r="E82" s="4">
        <v>44861</v>
      </c>
      <c r="F82" s="5">
        <v>5</v>
      </c>
      <c r="G82" s="5">
        <v>7</v>
      </c>
      <c r="H82" s="5">
        <v>8</v>
      </c>
      <c r="I82" s="5">
        <v>6</v>
      </c>
      <c r="J82" s="6">
        <f>SUM(F82:I82)</f>
        <v>26</v>
      </c>
      <c r="K82" s="3" t="str">
        <f>IF(J82&gt;=25,"Qualified","Disqualified")</f>
        <v>Qualified</v>
      </c>
      <c r="L82" s="3" t="str">
        <f>IF(NOT(J82=0),"Pass","Fail")</f>
        <v>Pass</v>
      </c>
      <c r="M82" s="3" t="str">
        <f t="array" ref="M82">IF(AND(F82:I82&gt;6,J82&gt;=25),"Pass","Fail")</f>
        <v>Fail</v>
      </c>
      <c r="N82" s="3" t="str">
        <f t="array" ref="N82">IF(OR(F82:I82&gt;6,J82&gt;=25),"Pass","Fail")</f>
        <v>Pass</v>
      </c>
      <c r="O82" s="3">
        <f>COUNTIF(F82:I82,"&gt;6")</f>
        <v>2</v>
      </c>
      <c r="P82" s="3" t="str">
        <f>_xlfn.IFS((J82&lt;20),"Need Improvement",(J82=20),"Good",(J82&gt;20),"Very Good",(J82&gt;30),"Excellent")</f>
        <v>Very Good</v>
      </c>
      <c r="Q82" s="40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 x14ac:dyDescent="0.3">
      <c r="A83" s="3" t="s">
        <v>380</v>
      </c>
      <c r="B83" s="3" t="s">
        <v>381</v>
      </c>
      <c r="C83" s="3" t="s">
        <v>25</v>
      </c>
      <c r="D83" s="3" t="s">
        <v>26</v>
      </c>
      <c r="E83" s="4">
        <v>44628</v>
      </c>
      <c r="F83" s="5">
        <v>9</v>
      </c>
      <c r="G83" s="5">
        <v>7</v>
      </c>
      <c r="H83" s="5">
        <v>4</v>
      </c>
      <c r="I83" s="5">
        <v>6</v>
      </c>
      <c r="J83" s="6">
        <f>SUM(F83:I83)</f>
        <v>26</v>
      </c>
      <c r="K83" s="3" t="str">
        <f>IF(J83&gt;=25,"Qualified","Disqualified")</f>
        <v>Qualified</v>
      </c>
      <c r="L83" s="3" t="str">
        <f>IF(NOT(J83=0),"Pass","Fail")</f>
        <v>Pass</v>
      </c>
      <c r="M83" s="3" t="str">
        <f t="array" ref="M83">IF(AND(F83:I83&gt;6,J83&gt;=25),"Pass","Fail")</f>
        <v>Fail</v>
      </c>
      <c r="N83" s="3" t="str">
        <f t="array" ref="N83">IF(OR(F83:I83&gt;6,J83&gt;=25),"Pass","Fail")</f>
        <v>Pass</v>
      </c>
      <c r="O83" s="3">
        <f>COUNTIF(F83:I83,"&gt;6")</f>
        <v>2</v>
      </c>
      <c r="P83" s="3" t="str">
        <f>_xlfn.IFS((J83&lt;20),"Need Improvement",(J83=20),"Good",(J83&gt;20),"Very Good",(J83&gt;30),"Excellent")</f>
        <v>Very Good</v>
      </c>
      <c r="Q83" s="40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 x14ac:dyDescent="0.3">
      <c r="A84" s="3" t="s">
        <v>401</v>
      </c>
      <c r="B84" s="3" t="s">
        <v>216</v>
      </c>
      <c r="C84" s="3" t="s">
        <v>25</v>
      </c>
      <c r="D84" s="3" t="s">
        <v>50</v>
      </c>
      <c r="E84" s="4">
        <v>44482</v>
      </c>
      <c r="F84" s="5">
        <v>4</v>
      </c>
      <c r="G84" s="5">
        <v>5</v>
      </c>
      <c r="H84" s="5">
        <v>8</v>
      </c>
      <c r="I84" s="5">
        <v>9</v>
      </c>
      <c r="J84" s="6">
        <f>SUM(F84:I84)</f>
        <v>26</v>
      </c>
      <c r="K84" s="3" t="str">
        <f>IF(J84&gt;=25,"Qualified","Disqualified")</f>
        <v>Qualified</v>
      </c>
      <c r="L84" s="3" t="str">
        <f>IF(NOT(J84=0),"Pass","Fail")</f>
        <v>Pass</v>
      </c>
      <c r="M84" s="3" t="str">
        <f t="array" ref="M84">IF(AND(F84:I84&gt;6,J84&gt;=25),"Pass","Fail")</f>
        <v>Fail</v>
      </c>
      <c r="N84" s="3" t="str">
        <f t="array" ref="N84">IF(OR(F84:I84&gt;6,J84&gt;=25),"Pass","Fail")</f>
        <v>Pass</v>
      </c>
      <c r="O84" s="3">
        <f>COUNTIF(F84:I84,"&gt;6")</f>
        <v>2</v>
      </c>
      <c r="P84" s="3" t="str">
        <f>_xlfn.IFS((J84&lt;20),"Need Improvement",(J84=20),"Good",(J84&gt;20),"Very Good",(J84&gt;30),"Excellent")</f>
        <v>Very Good</v>
      </c>
      <c r="Q84" s="40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 x14ac:dyDescent="0.3">
      <c r="A85" s="3" t="s">
        <v>404</v>
      </c>
      <c r="B85" s="3" t="s">
        <v>222</v>
      </c>
      <c r="C85" s="3" t="s">
        <v>60</v>
      </c>
      <c r="D85" s="3" t="s">
        <v>129</v>
      </c>
      <c r="E85" s="4">
        <v>44913</v>
      </c>
      <c r="F85" s="5">
        <v>5</v>
      </c>
      <c r="G85" s="5">
        <v>5</v>
      </c>
      <c r="H85" s="5">
        <v>8</v>
      </c>
      <c r="I85" s="5">
        <v>8</v>
      </c>
      <c r="J85" s="6">
        <f>SUM(F85:I85)</f>
        <v>26</v>
      </c>
      <c r="K85" s="3" t="str">
        <f>IF(J85&gt;=25,"Qualified","Disqualified")</f>
        <v>Qualified</v>
      </c>
      <c r="L85" s="3" t="str">
        <f>IF(NOT(J85=0),"Pass","Fail")</f>
        <v>Pass</v>
      </c>
      <c r="M85" s="3" t="str">
        <f t="array" ref="M85">IF(AND(F85:I85&gt;6,J85&gt;=25),"Pass","Fail")</f>
        <v>Fail</v>
      </c>
      <c r="N85" s="3" t="str">
        <f t="array" ref="N85">IF(OR(F85:I85&gt;6,J85&gt;=25),"Pass","Fail")</f>
        <v>Pass</v>
      </c>
      <c r="O85" s="3">
        <f>COUNTIF(F85:I85,"&gt;6")</f>
        <v>2</v>
      </c>
      <c r="P85" s="3" t="str">
        <f>_xlfn.IFS((J85&lt;20),"Need Improvement",(J85=20),"Good",(J85&gt;20),"Very Good",(J85&gt;30),"Excellent")</f>
        <v>Very Good</v>
      </c>
      <c r="Q85" s="40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 x14ac:dyDescent="0.3">
      <c r="A86" s="3" t="s">
        <v>408</v>
      </c>
      <c r="B86" s="3" t="s">
        <v>230</v>
      </c>
      <c r="C86" s="3" t="s">
        <v>136</v>
      </c>
      <c r="D86" s="3" t="s">
        <v>26</v>
      </c>
      <c r="E86" s="4">
        <v>45006</v>
      </c>
      <c r="F86" s="5">
        <v>9</v>
      </c>
      <c r="G86" s="5">
        <v>7</v>
      </c>
      <c r="H86" s="5">
        <v>5</v>
      </c>
      <c r="I86" s="5">
        <v>5</v>
      </c>
      <c r="J86" s="6">
        <f>SUM(F86:I86)</f>
        <v>26</v>
      </c>
      <c r="K86" s="3" t="str">
        <f>IF(J86&gt;=25,"Qualified","Disqualified")</f>
        <v>Qualified</v>
      </c>
      <c r="L86" s="3" t="str">
        <f>IF(NOT(J86=0),"Pass","Fail")</f>
        <v>Pass</v>
      </c>
      <c r="M86" s="3" t="str">
        <f t="array" ref="M86">IF(AND(F86:I86&gt;6,J86&gt;=25),"Pass","Fail")</f>
        <v>Fail</v>
      </c>
      <c r="N86" s="3" t="str">
        <f t="array" ref="N86">IF(OR(F86:I86&gt;6,J86&gt;=25),"Pass","Fail")</f>
        <v>Pass</v>
      </c>
      <c r="O86" s="3">
        <f>COUNTIF(F86:I86,"&gt;6")</f>
        <v>2</v>
      </c>
      <c r="P86" s="3" t="str">
        <f>_xlfn.IFS((J86&lt;20),"Need Improvement",(J86=20),"Good",(J86&gt;20),"Very Good",(J86&gt;30),"Excellent")</f>
        <v>Very Good</v>
      </c>
      <c r="Q86" s="40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 x14ac:dyDescent="0.3">
      <c r="A87" s="3" t="s">
        <v>76</v>
      </c>
      <c r="B87" s="3" t="s">
        <v>77</v>
      </c>
      <c r="C87" s="3" t="s">
        <v>69</v>
      </c>
      <c r="D87" s="3" t="s">
        <v>43</v>
      </c>
      <c r="E87" s="4">
        <v>44631</v>
      </c>
      <c r="F87" s="5">
        <v>8</v>
      </c>
      <c r="G87" s="5">
        <v>4</v>
      </c>
      <c r="H87" s="5">
        <v>8</v>
      </c>
      <c r="I87" s="5">
        <v>7</v>
      </c>
      <c r="J87" s="6">
        <f>SUM(F87:I87)</f>
        <v>27</v>
      </c>
      <c r="K87" s="3" t="str">
        <f>IF(J87&gt;=25,"Qualified","Disqualified")</f>
        <v>Qualified</v>
      </c>
      <c r="L87" s="3" t="str">
        <f>IF(NOT(J87=0),"Pass","Fail")</f>
        <v>Pass</v>
      </c>
      <c r="M87" s="3" t="str">
        <f t="array" ref="M87">IF(AND(F87:I87&gt;6,J87&gt;=25),"Pass","Fail")</f>
        <v>Fail</v>
      </c>
      <c r="N87" s="3" t="str">
        <f t="array" ref="N87">IF(OR(F87:I87&gt;6,J87&gt;=25),"Pass","Fail")</f>
        <v>Pass</v>
      </c>
      <c r="O87" s="3">
        <f>COUNTIF(F87:I87,"&gt;6")</f>
        <v>3</v>
      </c>
      <c r="P87" s="3" t="str">
        <f>_xlfn.IFS((J87&lt;20),"Need Improvement",(J87=20),"Good",(J87&gt;20),"Very Good",(J87&gt;30),"Excellent")</f>
        <v>Very Good</v>
      </c>
      <c r="Q87" s="40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 x14ac:dyDescent="0.3">
      <c r="A88" s="3" t="s">
        <v>84</v>
      </c>
      <c r="B88" s="3" t="s">
        <v>85</v>
      </c>
      <c r="C88" s="3" t="s">
        <v>25</v>
      </c>
      <c r="D88" s="3" t="s">
        <v>26</v>
      </c>
      <c r="E88" s="4">
        <v>44740</v>
      </c>
      <c r="F88" s="5">
        <v>5</v>
      </c>
      <c r="G88" s="5">
        <v>7</v>
      </c>
      <c r="H88" s="5">
        <v>5</v>
      </c>
      <c r="I88" s="5">
        <v>10</v>
      </c>
      <c r="J88" s="6">
        <f>SUM(F88:I88)</f>
        <v>27</v>
      </c>
      <c r="K88" s="3" t="str">
        <f>IF(J88&gt;=25,"Qualified","Disqualified")</f>
        <v>Qualified</v>
      </c>
      <c r="L88" s="3" t="str">
        <f>IF(NOT(J88=0),"Pass","Fail")</f>
        <v>Pass</v>
      </c>
      <c r="M88" s="3" t="str">
        <f t="array" ref="M88">IF(AND(F88:I88&gt;6,J88&gt;=25),"Pass","Fail")</f>
        <v>Fail</v>
      </c>
      <c r="N88" s="3" t="str">
        <f t="array" ref="N88">IF(OR(F88:I88&gt;6,J88&gt;=25),"Pass","Fail")</f>
        <v>Pass</v>
      </c>
      <c r="O88" s="3">
        <f>COUNTIF(F88:I88,"&gt;6")</f>
        <v>2</v>
      </c>
      <c r="P88" s="3" t="str">
        <f>_xlfn.IFS((J88&lt;20),"Need Improvement",(J88=20),"Good",(J88&gt;20),"Very Good",(J88&gt;30),"Excellent")</f>
        <v>Very Good</v>
      </c>
      <c r="Q88" s="40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 x14ac:dyDescent="0.3">
      <c r="A89" s="3" t="s">
        <v>113</v>
      </c>
      <c r="B89" s="3" t="s">
        <v>114</v>
      </c>
      <c r="C89" s="3" t="s">
        <v>25</v>
      </c>
      <c r="D89" s="3" t="s">
        <v>56</v>
      </c>
      <c r="E89" s="4">
        <v>44753</v>
      </c>
      <c r="F89" s="5">
        <v>6</v>
      </c>
      <c r="G89" s="5">
        <v>6</v>
      </c>
      <c r="H89" s="5">
        <v>10</v>
      </c>
      <c r="I89" s="5">
        <v>5</v>
      </c>
      <c r="J89" s="6">
        <f>SUM(F89:I89)</f>
        <v>27</v>
      </c>
      <c r="K89" s="3" t="str">
        <f>IF(J89&gt;=25,"Qualified","Disqualified")</f>
        <v>Qualified</v>
      </c>
      <c r="L89" s="3" t="str">
        <f>IF(NOT(J89=0),"Pass","Fail")</f>
        <v>Pass</v>
      </c>
      <c r="M89" s="3" t="str">
        <f t="array" ref="M89">IF(AND(F89:I89&gt;6,J89&gt;=25),"Pass","Fail")</f>
        <v>Fail</v>
      </c>
      <c r="N89" s="3" t="str">
        <f t="array" ref="N89">IF(OR(F89:I89&gt;6,J89&gt;=25),"Pass","Fail")</f>
        <v>Pass</v>
      </c>
      <c r="O89" s="3">
        <f>COUNTIF(F89:I89,"&gt;6")</f>
        <v>1</v>
      </c>
      <c r="P89" s="3" t="str">
        <f>_xlfn.IFS((J89&lt;20),"Need Improvement",(J89=20),"Good",(J89&gt;20),"Very Good",(J89&gt;30),"Excellent")</f>
        <v>Very Good</v>
      </c>
      <c r="Q89" s="40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 x14ac:dyDescent="0.3">
      <c r="A90" s="3" t="s">
        <v>161</v>
      </c>
      <c r="B90" s="3" t="s">
        <v>162</v>
      </c>
      <c r="C90" s="3" t="s">
        <v>25</v>
      </c>
      <c r="D90" s="3" t="s">
        <v>26</v>
      </c>
      <c r="E90" s="4">
        <v>44376</v>
      </c>
      <c r="F90" s="5">
        <v>4</v>
      </c>
      <c r="G90" s="5">
        <v>9</v>
      </c>
      <c r="H90" s="5">
        <v>7</v>
      </c>
      <c r="I90" s="5">
        <v>7</v>
      </c>
      <c r="J90" s="6">
        <f>SUM(F90:I90)</f>
        <v>27</v>
      </c>
      <c r="K90" s="3" t="str">
        <f>IF(J90&gt;=25,"Qualified","Disqualified")</f>
        <v>Qualified</v>
      </c>
      <c r="L90" s="3" t="str">
        <f>IF(NOT(J90=0),"Pass","Fail")</f>
        <v>Pass</v>
      </c>
      <c r="M90" s="3" t="str">
        <f t="array" ref="M90">IF(AND(F90:I90&gt;6,J90&gt;=25),"Pass","Fail")</f>
        <v>Fail</v>
      </c>
      <c r="N90" s="3" t="str">
        <f t="array" ref="N90">IF(OR(F90:I90&gt;6,J90&gt;=25),"Pass","Fail")</f>
        <v>Pass</v>
      </c>
      <c r="O90" s="3">
        <f>COUNTIF(F90:I90,"&gt;6")</f>
        <v>3</v>
      </c>
      <c r="P90" s="3" t="str">
        <f>_xlfn.IFS((J90&lt;20),"Need Improvement",(J90=20),"Good",(J90&gt;20),"Very Good",(J90&gt;30),"Excellent")</f>
        <v>Very Good</v>
      </c>
      <c r="Q90" s="40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 x14ac:dyDescent="0.3">
      <c r="A91" s="3" t="s">
        <v>183</v>
      </c>
      <c r="B91" s="3" t="s">
        <v>184</v>
      </c>
      <c r="C91" s="3" t="s">
        <v>136</v>
      </c>
      <c r="D91" s="3" t="s">
        <v>43</v>
      </c>
      <c r="E91" s="4">
        <v>44687</v>
      </c>
      <c r="F91" s="5">
        <v>7</v>
      </c>
      <c r="G91" s="5">
        <v>8</v>
      </c>
      <c r="H91" s="5">
        <v>6</v>
      </c>
      <c r="I91" s="5">
        <v>6</v>
      </c>
      <c r="J91" s="6">
        <f>SUM(F91:I91)</f>
        <v>27</v>
      </c>
      <c r="K91" s="3" t="str">
        <f>IF(J91&gt;=25,"Qualified","Disqualified")</f>
        <v>Qualified</v>
      </c>
      <c r="L91" s="3" t="str">
        <f>IF(NOT(J91=0),"Pass","Fail")</f>
        <v>Pass</v>
      </c>
      <c r="M91" s="3" t="str">
        <f t="array" ref="M91">IF(AND(F91:I91&gt;6,J91&gt;=25),"Pass","Fail")</f>
        <v>Fail</v>
      </c>
      <c r="N91" s="3" t="str">
        <f t="array" ref="N91">IF(OR(F91:I91&gt;6,J91&gt;=25),"Pass","Fail")</f>
        <v>Pass</v>
      </c>
      <c r="O91" s="3">
        <f>COUNTIF(F91:I91,"&gt;6")</f>
        <v>2</v>
      </c>
      <c r="P91" s="3" t="str">
        <f>_xlfn.IFS((J91&lt;20),"Need Improvement",(J91=20),"Good",(J91&gt;20),"Very Good",(J91&gt;30),"Excellent")</f>
        <v>Very Good</v>
      </c>
      <c r="Q91" s="40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 x14ac:dyDescent="0.3">
      <c r="A92" s="3" t="s">
        <v>195</v>
      </c>
      <c r="B92" s="3" t="s">
        <v>196</v>
      </c>
      <c r="C92" s="3" t="s">
        <v>60</v>
      </c>
      <c r="D92" s="3" t="s">
        <v>31</v>
      </c>
      <c r="E92" s="4">
        <v>44364</v>
      </c>
      <c r="F92" s="5">
        <v>10</v>
      </c>
      <c r="G92" s="5">
        <v>4</v>
      </c>
      <c r="H92" s="5">
        <v>7</v>
      </c>
      <c r="I92" s="5">
        <v>6</v>
      </c>
      <c r="J92" s="6">
        <f>SUM(F92:I92)</f>
        <v>27</v>
      </c>
      <c r="K92" s="3" t="str">
        <f>IF(J92&gt;=25,"Qualified","Disqualified")</f>
        <v>Qualified</v>
      </c>
      <c r="L92" s="3" t="str">
        <f>IF(NOT(J92=0),"Pass","Fail")</f>
        <v>Pass</v>
      </c>
      <c r="M92" s="3" t="str">
        <f t="array" ref="M92">IF(AND(F92:I92&gt;6,J92&gt;=25),"Pass","Fail")</f>
        <v>Fail</v>
      </c>
      <c r="N92" s="3" t="str">
        <f t="array" ref="N92">IF(OR(F92:I92&gt;6,J92&gt;=25),"Pass","Fail")</f>
        <v>Pass</v>
      </c>
      <c r="O92" s="3">
        <f>COUNTIF(F92:I92,"&gt;6")</f>
        <v>2</v>
      </c>
      <c r="P92" s="3" t="str">
        <f>_xlfn.IFS((J92&lt;20),"Need Improvement",(J92=20),"Good",(J92&gt;20),"Very Good",(J92&gt;30),"Excellent")</f>
        <v>Very Good</v>
      </c>
      <c r="Q92" s="40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 x14ac:dyDescent="0.3">
      <c r="A93" s="3" t="s">
        <v>199</v>
      </c>
      <c r="B93" s="3" t="s">
        <v>200</v>
      </c>
      <c r="C93" s="3" t="s">
        <v>25</v>
      </c>
      <c r="D93" s="3" t="s">
        <v>50</v>
      </c>
      <c r="E93" s="4">
        <v>44797</v>
      </c>
      <c r="F93" s="5">
        <v>6</v>
      </c>
      <c r="G93" s="5">
        <v>6</v>
      </c>
      <c r="H93" s="5">
        <v>10</v>
      </c>
      <c r="I93" s="5">
        <v>5</v>
      </c>
      <c r="J93" s="6">
        <f>SUM(F93:I93)</f>
        <v>27</v>
      </c>
      <c r="K93" s="3" t="str">
        <f>IF(J93&gt;=25,"Qualified","Disqualified")</f>
        <v>Qualified</v>
      </c>
      <c r="L93" s="3" t="str">
        <f>IF(NOT(J93=0),"Pass","Fail")</f>
        <v>Pass</v>
      </c>
      <c r="M93" s="3" t="str">
        <f t="array" ref="M93">IF(AND(F93:I93&gt;6,J93&gt;=25),"Pass","Fail")</f>
        <v>Fail</v>
      </c>
      <c r="N93" s="3" t="str">
        <f t="array" ref="N93">IF(OR(F93:I93&gt;6,J93&gt;=25),"Pass","Fail")</f>
        <v>Pass</v>
      </c>
      <c r="O93" s="3">
        <f>COUNTIF(F93:I93,"&gt;6")</f>
        <v>1</v>
      </c>
      <c r="P93" s="3" t="str">
        <f>_xlfn.IFS((J93&lt;20),"Need Improvement",(J93=20),"Good",(J93&gt;20),"Very Good",(J93&gt;30),"Excellent")</f>
        <v>Very Good</v>
      </c>
      <c r="Q93" s="40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 x14ac:dyDescent="0.3">
      <c r="A94" s="3" t="s">
        <v>213</v>
      </c>
      <c r="B94" s="3" t="s">
        <v>214</v>
      </c>
      <c r="C94" s="3" t="s">
        <v>25</v>
      </c>
      <c r="D94" s="3" t="s">
        <v>26</v>
      </c>
      <c r="E94" s="4">
        <v>44859</v>
      </c>
      <c r="F94" s="5">
        <v>5</v>
      </c>
      <c r="G94" s="5">
        <v>4</v>
      </c>
      <c r="H94" s="5">
        <v>8</v>
      </c>
      <c r="I94" s="5">
        <v>10</v>
      </c>
      <c r="J94" s="6">
        <f>SUM(F94:I94)</f>
        <v>27</v>
      </c>
      <c r="K94" s="3" t="str">
        <f>IF(J94&gt;=25,"Qualified","Disqualified")</f>
        <v>Qualified</v>
      </c>
      <c r="L94" s="3" t="str">
        <f>IF(NOT(J94=0),"Pass","Fail")</f>
        <v>Pass</v>
      </c>
      <c r="M94" s="3" t="str">
        <f t="array" ref="M94">IF(AND(F94:I94&gt;6,J94&gt;=25),"Pass","Fail")</f>
        <v>Fail</v>
      </c>
      <c r="N94" s="3" t="str">
        <f t="array" ref="N94">IF(OR(F94:I94&gt;6,J94&gt;=25),"Pass","Fail")</f>
        <v>Pass</v>
      </c>
      <c r="O94" s="3">
        <f>COUNTIF(F94:I94,"&gt;6")</f>
        <v>2</v>
      </c>
      <c r="P94" s="3" t="str">
        <f>_xlfn.IFS((J94&lt;20),"Need Improvement",(J94=20),"Good",(J94&gt;20),"Very Good",(J94&gt;30),"Excellent")</f>
        <v>Very Good</v>
      </c>
      <c r="Q94" s="40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 x14ac:dyDescent="0.3">
      <c r="A95" s="3" t="s">
        <v>217</v>
      </c>
      <c r="B95" s="3" t="s">
        <v>218</v>
      </c>
      <c r="C95" s="3" t="s">
        <v>60</v>
      </c>
      <c r="D95" s="3" t="s">
        <v>43</v>
      </c>
      <c r="E95" s="4">
        <v>44470</v>
      </c>
      <c r="F95" s="5">
        <v>7</v>
      </c>
      <c r="G95" s="5">
        <v>8</v>
      </c>
      <c r="H95" s="5">
        <v>6</v>
      </c>
      <c r="I95" s="5">
        <v>6</v>
      </c>
      <c r="J95" s="6">
        <f>SUM(F95:I95)</f>
        <v>27</v>
      </c>
      <c r="K95" s="3" t="str">
        <f>IF(J95&gt;=25,"Qualified","Disqualified")</f>
        <v>Qualified</v>
      </c>
      <c r="L95" s="3" t="str">
        <f>IF(NOT(J95=0),"Pass","Fail")</f>
        <v>Pass</v>
      </c>
      <c r="M95" s="3" t="str">
        <f t="array" ref="M95">IF(AND(F95:I95&gt;6,J95&gt;=25),"Pass","Fail")</f>
        <v>Fail</v>
      </c>
      <c r="N95" s="3" t="str">
        <f t="array" ref="N95">IF(OR(F95:I95&gt;6,J95&gt;=25),"Pass","Fail")</f>
        <v>Pass</v>
      </c>
      <c r="O95" s="3">
        <f>COUNTIF(F95:I95,"&gt;6")</f>
        <v>2</v>
      </c>
      <c r="P95" s="3" t="str">
        <f>_xlfn.IFS((J95&lt;20),"Need Improvement",(J95=20),"Good",(J95&gt;20),"Very Good",(J95&gt;30),"Excellent")</f>
        <v>Very Good</v>
      </c>
      <c r="Q95" s="40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 x14ac:dyDescent="0.3">
      <c r="A96" s="3" t="s">
        <v>231</v>
      </c>
      <c r="B96" s="3" t="s">
        <v>232</v>
      </c>
      <c r="C96" s="3" t="s">
        <v>69</v>
      </c>
      <c r="D96" s="3" t="s">
        <v>31</v>
      </c>
      <c r="E96" s="4">
        <v>44819</v>
      </c>
      <c r="F96" s="5">
        <v>6</v>
      </c>
      <c r="G96" s="5">
        <v>8</v>
      </c>
      <c r="H96" s="5">
        <v>6</v>
      </c>
      <c r="I96" s="5">
        <v>7</v>
      </c>
      <c r="J96" s="6">
        <f>SUM(F96:I96)</f>
        <v>27</v>
      </c>
      <c r="K96" s="3" t="str">
        <f>IF(J96&gt;=25,"Qualified","Disqualified")</f>
        <v>Qualified</v>
      </c>
      <c r="L96" s="3" t="str">
        <f>IF(NOT(J96=0),"Pass","Fail")</f>
        <v>Pass</v>
      </c>
      <c r="M96" s="3" t="str">
        <f t="array" ref="M96">IF(AND(F96:I96&gt;6,J96&gt;=25),"Pass","Fail")</f>
        <v>Fail</v>
      </c>
      <c r="N96" s="3" t="str">
        <f t="array" ref="N96">IF(OR(F96:I96&gt;6,J96&gt;=25),"Pass","Fail")</f>
        <v>Pass</v>
      </c>
      <c r="O96" s="3">
        <f>COUNTIF(F96:I96,"&gt;6")</f>
        <v>2</v>
      </c>
      <c r="P96" s="3" t="str">
        <f>_xlfn.IFS((J96&lt;20),"Need Improvement",(J96=20),"Good",(J96&gt;20),"Very Good",(J96&gt;30),"Excellent")</f>
        <v>Very Good</v>
      </c>
      <c r="Q96" s="40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 x14ac:dyDescent="0.3">
      <c r="A97" s="3" t="s">
        <v>247</v>
      </c>
      <c r="B97" s="3" t="s">
        <v>248</v>
      </c>
      <c r="C97" s="3" t="s">
        <v>25</v>
      </c>
      <c r="D97" s="3" t="s">
        <v>26</v>
      </c>
      <c r="E97" s="4">
        <v>44355</v>
      </c>
      <c r="F97" s="5">
        <v>7</v>
      </c>
      <c r="G97" s="5">
        <v>8</v>
      </c>
      <c r="H97" s="5">
        <v>7</v>
      </c>
      <c r="I97" s="5">
        <v>5</v>
      </c>
      <c r="J97" s="6">
        <f>SUM(F97:I97)</f>
        <v>27</v>
      </c>
      <c r="K97" s="3" t="str">
        <f>IF(J97&gt;=25,"Qualified","Disqualified")</f>
        <v>Qualified</v>
      </c>
      <c r="L97" s="3" t="str">
        <f>IF(NOT(J97=0),"Pass","Fail")</f>
        <v>Pass</v>
      </c>
      <c r="M97" s="3" t="str">
        <f t="array" ref="M97">IF(AND(F97:I97&gt;6,J97&gt;=25),"Pass","Fail")</f>
        <v>Fail</v>
      </c>
      <c r="N97" s="3" t="str">
        <f t="array" ref="N97">IF(OR(F97:I97&gt;6,J97&gt;=25),"Pass","Fail")</f>
        <v>Pass</v>
      </c>
      <c r="O97" s="3">
        <f>COUNTIF(F97:I97,"&gt;6")</f>
        <v>3</v>
      </c>
      <c r="P97" s="3" t="str">
        <f>_xlfn.IFS((J97&lt;20),"Need Improvement",(J97=20),"Good",(J97&gt;20),"Very Good",(J97&gt;30),"Excellent")</f>
        <v>Very Good</v>
      </c>
      <c r="Q97" s="40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 x14ac:dyDescent="0.3">
      <c r="A98" s="3" t="s">
        <v>298</v>
      </c>
      <c r="B98" s="3" t="s">
        <v>299</v>
      </c>
      <c r="C98" s="3" t="s">
        <v>25</v>
      </c>
      <c r="D98" s="3" t="s">
        <v>26</v>
      </c>
      <c r="E98" s="4">
        <v>44397</v>
      </c>
      <c r="F98" s="5">
        <v>8</v>
      </c>
      <c r="G98" s="5">
        <v>5</v>
      </c>
      <c r="H98" s="5">
        <v>4</v>
      </c>
      <c r="I98" s="5">
        <v>10</v>
      </c>
      <c r="J98" s="6">
        <f>SUM(F98:I98)</f>
        <v>27</v>
      </c>
      <c r="K98" s="3" t="str">
        <f>IF(J98&gt;=25,"Qualified","Disqualified")</f>
        <v>Qualified</v>
      </c>
      <c r="L98" s="3" t="str">
        <f>IF(NOT(J98=0),"Pass","Fail")</f>
        <v>Pass</v>
      </c>
      <c r="M98" s="3" t="str">
        <f t="array" ref="M98">IF(AND(F98:I98&gt;6,J98&gt;=25),"Pass","Fail")</f>
        <v>Fail</v>
      </c>
      <c r="N98" s="3" t="str">
        <f t="array" ref="N98">IF(OR(F98:I98&gt;6,J98&gt;=25),"Pass","Fail")</f>
        <v>Pass</v>
      </c>
      <c r="O98" s="3">
        <f>COUNTIF(F98:I98,"&gt;6")</f>
        <v>2</v>
      </c>
      <c r="P98" s="3" t="str">
        <f>_xlfn.IFS((J98&lt;20),"Need Improvement",(J98=20),"Good",(J98&gt;20),"Very Good",(J98&gt;30),"Excellent")</f>
        <v>Very Good</v>
      </c>
      <c r="Q98" s="40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 x14ac:dyDescent="0.3">
      <c r="A99" s="3" t="s">
        <v>314</v>
      </c>
      <c r="B99" s="3" t="s">
        <v>315</v>
      </c>
      <c r="C99" s="3" t="s">
        <v>69</v>
      </c>
      <c r="D99" s="3" t="s">
        <v>50</v>
      </c>
      <c r="E99" s="4">
        <v>44559</v>
      </c>
      <c r="F99" s="5">
        <v>5</v>
      </c>
      <c r="G99" s="5">
        <v>9</v>
      </c>
      <c r="H99" s="5">
        <v>5</v>
      </c>
      <c r="I99" s="5">
        <v>8</v>
      </c>
      <c r="J99" s="6">
        <f>SUM(F99:I99)</f>
        <v>27</v>
      </c>
      <c r="K99" s="3" t="str">
        <f>IF(J99&gt;=25,"Qualified","Disqualified")</f>
        <v>Qualified</v>
      </c>
      <c r="L99" s="3" t="str">
        <f>IF(NOT(J99=0),"Pass","Fail")</f>
        <v>Pass</v>
      </c>
      <c r="M99" s="3" t="str">
        <f t="array" ref="M99">IF(AND(F99:I99&gt;6,J99&gt;=25),"Pass","Fail")</f>
        <v>Fail</v>
      </c>
      <c r="N99" s="3" t="str">
        <f t="array" ref="N99">IF(OR(F99:I99&gt;6,J99&gt;=25),"Pass","Fail")</f>
        <v>Pass</v>
      </c>
      <c r="O99" s="3">
        <f>COUNTIF(F99:I99,"&gt;6")</f>
        <v>2</v>
      </c>
      <c r="P99" s="3" t="str">
        <f>_xlfn.IFS((J99&lt;20),"Need Improvement",(J99=20),"Good",(J99&gt;20),"Very Good",(J99&gt;30),"Excellent")</f>
        <v>Very Good</v>
      </c>
      <c r="Q99" s="40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 x14ac:dyDescent="0.3">
      <c r="A100" s="3" t="s">
        <v>358</v>
      </c>
      <c r="B100" s="3" t="s">
        <v>359</v>
      </c>
      <c r="C100" s="3" t="s">
        <v>60</v>
      </c>
      <c r="D100" s="3" t="s">
        <v>26</v>
      </c>
      <c r="E100" s="4">
        <v>44628</v>
      </c>
      <c r="F100" s="5">
        <v>7</v>
      </c>
      <c r="G100" s="5">
        <v>5</v>
      </c>
      <c r="H100" s="5">
        <v>5</v>
      </c>
      <c r="I100" s="5">
        <v>10</v>
      </c>
      <c r="J100" s="6">
        <f>SUM(F100:I100)</f>
        <v>27</v>
      </c>
      <c r="K100" s="3" t="str">
        <f>IF(J100&gt;=25,"Qualified","Disqualified")</f>
        <v>Qualified</v>
      </c>
      <c r="L100" s="3" t="str">
        <f>IF(NOT(J100=0),"Pass","Fail")</f>
        <v>Pass</v>
      </c>
      <c r="M100" s="3" t="str">
        <f t="array" ref="M100">IF(AND(F100:I100&gt;6,J100&gt;=25),"Pass","Fail")</f>
        <v>Fail</v>
      </c>
      <c r="N100" s="3" t="str">
        <f t="array" ref="N100">IF(OR(F100:I100&gt;6,J100&gt;=25),"Pass","Fail")</f>
        <v>Pass</v>
      </c>
      <c r="O100" s="3">
        <f>COUNTIF(F100:I100,"&gt;6")</f>
        <v>2</v>
      </c>
      <c r="P100" s="3" t="str">
        <f>_xlfn.IFS((J100&lt;20),"Need Improvement",(J100=20),"Good",(J100&gt;20),"Very Good",(J100&gt;30),"Excellent")</f>
        <v>Very Good</v>
      </c>
      <c r="Q100" s="40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 x14ac:dyDescent="0.3">
      <c r="A101" s="3" t="s">
        <v>360</v>
      </c>
      <c r="B101" s="3" t="s">
        <v>361</v>
      </c>
      <c r="C101" s="3" t="s">
        <v>60</v>
      </c>
      <c r="D101" s="3" t="s">
        <v>26</v>
      </c>
      <c r="E101" s="4">
        <v>44838</v>
      </c>
      <c r="F101" s="5">
        <v>7</v>
      </c>
      <c r="G101" s="5">
        <v>4</v>
      </c>
      <c r="H101" s="5">
        <v>10</v>
      </c>
      <c r="I101" s="5">
        <v>6</v>
      </c>
      <c r="J101" s="6">
        <f>SUM(F101:I101)</f>
        <v>27</v>
      </c>
      <c r="K101" s="3" t="str">
        <f>IF(J101&gt;=25,"Qualified","Disqualified")</f>
        <v>Qualified</v>
      </c>
      <c r="L101" s="3" t="str">
        <f>IF(NOT(J101=0),"Pass","Fail")</f>
        <v>Pass</v>
      </c>
      <c r="M101" s="3" t="str">
        <f t="array" ref="M101">IF(AND(F101:I101&gt;6,J101&gt;=25),"Pass","Fail")</f>
        <v>Fail</v>
      </c>
      <c r="N101" s="3" t="str">
        <f t="array" ref="N101">IF(OR(F101:I101&gt;6,J101&gt;=25),"Pass","Fail")</f>
        <v>Pass</v>
      </c>
      <c r="O101" s="3">
        <f>COUNTIF(F101:I101,"&gt;6")</f>
        <v>2</v>
      </c>
      <c r="P101" s="3" t="str">
        <f>_xlfn.IFS((J101&lt;20),"Need Improvement",(J101=20),"Good",(J101&gt;20),"Very Good",(J101&gt;30),"Excellent")</f>
        <v>Very Good</v>
      </c>
      <c r="Q101" s="40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 x14ac:dyDescent="0.3">
      <c r="A102" s="3" t="s">
        <v>387</v>
      </c>
      <c r="B102" s="3" t="s">
        <v>188</v>
      </c>
      <c r="C102" s="3" t="s">
        <v>136</v>
      </c>
      <c r="D102" s="3" t="s">
        <v>26</v>
      </c>
      <c r="E102" s="4">
        <v>44978</v>
      </c>
      <c r="F102" s="5">
        <v>7</v>
      </c>
      <c r="G102" s="5">
        <v>7</v>
      </c>
      <c r="H102" s="5">
        <v>9</v>
      </c>
      <c r="I102" s="5">
        <v>4</v>
      </c>
      <c r="J102" s="6">
        <f>SUM(F102:I102)</f>
        <v>27</v>
      </c>
      <c r="K102" s="3" t="str">
        <f>IF(J102&gt;=25,"Qualified","Disqualified")</f>
        <v>Qualified</v>
      </c>
      <c r="L102" s="3" t="str">
        <f>IF(NOT(J102=0),"Pass","Fail")</f>
        <v>Pass</v>
      </c>
      <c r="M102" s="3" t="str">
        <f t="array" ref="M102">IF(AND(F102:I102&gt;6,J102&gt;=25),"Pass","Fail")</f>
        <v>Fail</v>
      </c>
      <c r="N102" s="3" t="str">
        <f t="array" ref="N102">IF(OR(F102:I102&gt;6,J102&gt;=25),"Pass","Fail")</f>
        <v>Pass</v>
      </c>
      <c r="O102" s="3">
        <f>COUNTIF(F102:I102,"&gt;6")</f>
        <v>3</v>
      </c>
      <c r="P102" s="3" t="str">
        <f>_xlfn.IFS((J102&lt;20),"Need Improvement",(J102=20),"Good",(J102&gt;20),"Very Good",(J102&gt;30),"Excellent")</f>
        <v>Very Good</v>
      </c>
      <c r="Q102" s="40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 x14ac:dyDescent="0.3">
      <c r="A103" s="3" t="s">
        <v>394</v>
      </c>
      <c r="B103" s="3" t="s">
        <v>202</v>
      </c>
      <c r="C103" s="3" t="s">
        <v>25</v>
      </c>
      <c r="D103" s="3" t="s">
        <v>26</v>
      </c>
      <c r="E103" s="4">
        <v>44558</v>
      </c>
      <c r="F103" s="5">
        <v>7</v>
      </c>
      <c r="G103" s="5">
        <v>4</v>
      </c>
      <c r="H103" s="5">
        <v>8</v>
      </c>
      <c r="I103" s="5">
        <v>8</v>
      </c>
      <c r="J103" s="6">
        <f>SUM(F103:I103)</f>
        <v>27</v>
      </c>
      <c r="K103" s="3" t="str">
        <f>IF(J103&gt;=25,"Qualified","Disqualified")</f>
        <v>Qualified</v>
      </c>
      <c r="L103" s="3" t="str">
        <f>IF(NOT(J103=0),"Pass","Fail")</f>
        <v>Pass</v>
      </c>
      <c r="M103" s="3" t="str">
        <f t="array" ref="M103">IF(AND(F103:I103&gt;6,J103&gt;=25),"Pass","Fail")</f>
        <v>Fail</v>
      </c>
      <c r="N103" s="3" t="str">
        <f t="array" ref="N103">IF(OR(F103:I103&gt;6,J103&gt;=25),"Pass","Fail")</f>
        <v>Pass</v>
      </c>
      <c r="O103" s="3">
        <f>COUNTIF(F103:I103,"&gt;6")</f>
        <v>3</v>
      </c>
      <c r="P103" s="3" t="str">
        <f>_xlfn.IFS((J103&lt;20),"Need Improvement",(J103=20),"Good",(J103&gt;20),"Very Good",(J103&gt;30),"Excellent")</f>
        <v>Very Good</v>
      </c>
      <c r="Q103" s="40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 x14ac:dyDescent="0.3">
      <c r="A104" s="3" t="s">
        <v>396</v>
      </c>
      <c r="B104" s="3" t="s">
        <v>206</v>
      </c>
      <c r="C104" s="3" t="s">
        <v>25</v>
      </c>
      <c r="D104" s="3" t="s">
        <v>96</v>
      </c>
      <c r="E104" s="4">
        <v>44751</v>
      </c>
      <c r="F104" s="5">
        <v>6</v>
      </c>
      <c r="G104" s="5">
        <v>10</v>
      </c>
      <c r="H104" s="5">
        <v>7</v>
      </c>
      <c r="I104" s="5">
        <v>4</v>
      </c>
      <c r="J104" s="6">
        <f>SUM(F104:I104)</f>
        <v>27</v>
      </c>
      <c r="K104" s="3" t="str">
        <f>IF(J104&gt;=25,"Qualified","Disqualified")</f>
        <v>Qualified</v>
      </c>
      <c r="L104" s="3" t="str">
        <f>IF(NOT(J104=0),"Pass","Fail")</f>
        <v>Pass</v>
      </c>
      <c r="M104" s="3" t="str">
        <f t="array" ref="M104">IF(AND(F104:I104&gt;6,J104&gt;=25),"Pass","Fail")</f>
        <v>Fail</v>
      </c>
      <c r="N104" s="3" t="str">
        <f t="array" ref="N104">IF(OR(F104:I104&gt;6,J104&gt;=25),"Pass","Fail")</f>
        <v>Pass</v>
      </c>
      <c r="O104" s="3">
        <f>COUNTIF(F104:I104,"&gt;6")</f>
        <v>2</v>
      </c>
      <c r="P104" s="3" t="str">
        <f>_xlfn.IFS((J104&lt;20),"Need Improvement",(J104=20),"Good",(J104&gt;20),"Very Good",(J104&gt;30),"Excellent")</f>
        <v>Very Good</v>
      </c>
      <c r="Q104" s="40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 x14ac:dyDescent="0.3">
      <c r="A105" s="3" t="s">
        <v>406</v>
      </c>
      <c r="B105" s="3" t="s">
        <v>226</v>
      </c>
      <c r="C105" s="3" t="s">
        <v>136</v>
      </c>
      <c r="D105" s="3" t="s">
        <v>50</v>
      </c>
      <c r="E105" s="4">
        <v>44524</v>
      </c>
      <c r="F105" s="5">
        <v>8</v>
      </c>
      <c r="G105" s="5">
        <v>8</v>
      </c>
      <c r="H105" s="5">
        <v>4</v>
      </c>
      <c r="I105" s="5">
        <v>7</v>
      </c>
      <c r="J105" s="6">
        <f>SUM(F105:I105)</f>
        <v>27</v>
      </c>
      <c r="K105" s="3" t="str">
        <f>IF(J105&gt;=25,"Qualified","Disqualified")</f>
        <v>Qualified</v>
      </c>
      <c r="L105" s="3" t="str">
        <f>IF(NOT(J105=0),"Pass","Fail")</f>
        <v>Pass</v>
      </c>
      <c r="M105" s="3" t="str">
        <f t="array" ref="M105">IF(AND(F105:I105&gt;6,J105&gt;=25),"Pass","Fail")</f>
        <v>Fail</v>
      </c>
      <c r="N105" s="3" t="str">
        <f t="array" ref="N105">IF(OR(F105:I105&gt;6,J105&gt;=25),"Pass","Fail")</f>
        <v>Pass</v>
      </c>
      <c r="O105" s="3">
        <f>COUNTIF(F105:I105,"&gt;6")</f>
        <v>3</v>
      </c>
      <c r="P105" s="3" t="str">
        <f>_xlfn.IFS((J105&lt;20),"Need Improvement",(J105=20),"Good",(J105&gt;20),"Very Good",(J105&gt;30),"Excellent")</f>
        <v>Very Good</v>
      </c>
      <c r="Q105" s="40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 x14ac:dyDescent="0.3">
      <c r="A106" s="3" t="s">
        <v>407</v>
      </c>
      <c r="B106" s="3" t="s">
        <v>228</v>
      </c>
      <c r="C106" s="3" t="s">
        <v>136</v>
      </c>
      <c r="D106" s="3" t="s">
        <v>31</v>
      </c>
      <c r="E106" s="4">
        <v>44371</v>
      </c>
      <c r="F106" s="5">
        <v>4</v>
      </c>
      <c r="G106" s="5">
        <v>9</v>
      </c>
      <c r="H106" s="5">
        <v>7</v>
      </c>
      <c r="I106" s="5">
        <v>7</v>
      </c>
      <c r="J106" s="6">
        <f>SUM(F106:I106)</f>
        <v>27</v>
      </c>
      <c r="K106" s="3" t="str">
        <f>IF(J106&gt;=25,"Qualified","Disqualified")</f>
        <v>Qualified</v>
      </c>
      <c r="L106" s="3" t="str">
        <f>IF(NOT(J106=0),"Pass","Fail")</f>
        <v>Pass</v>
      </c>
      <c r="M106" s="3" t="str">
        <f t="array" ref="M106">IF(AND(F106:I106&gt;6,J106&gt;=25),"Pass","Fail")</f>
        <v>Fail</v>
      </c>
      <c r="N106" s="3" t="str">
        <f t="array" ref="N106">IF(OR(F106:I106&gt;6,J106&gt;=25),"Pass","Fail")</f>
        <v>Pass</v>
      </c>
      <c r="O106" s="3">
        <f>COUNTIF(F106:I106,"&gt;6")</f>
        <v>3</v>
      </c>
      <c r="P106" s="3" t="str">
        <f>_xlfn.IFS((J106&lt;20),"Need Improvement",(J106=20),"Good",(J106&gt;20),"Very Good",(J106&gt;30),"Excellent")</f>
        <v>Very Good</v>
      </c>
      <c r="Q106" s="40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 x14ac:dyDescent="0.3">
      <c r="A107" s="3" t="s">
        <v>412</v>
      </c>
      <c r="B107" s="3" t="s">
        <v>238</v>
      </c>
      <c r="C107" s="3" t="s">
        <v>60</v>
      </c>
      <c r="D107" s="3" t="s">
        <v>96</v>
      </c>
      <c r="E107" s="4">
        <v>44380</v>
      </c>
      <c r="F107" s="5">
        <v>4</v>
      </c>
      <c r="G107" s="5">
        <v>8</v>
      </c>
      <c r="H107" s="5">
        <v>5</v>
      </c>
      <c r="I107" s="5">
        <v>10</v>
      </c>
      <c r="J107" s="6">
        <f>SUM(F107:I107)</f>
        <v>27</v>
      </c>
      <c r="K107" s="3" t="str">
        <f>IF(J107&gt;=25,"Qualified","Disqualified")</f>
        <v>Qualified</v>
      </c>
      <c r="L107" s="3" t="str">
        <f>IF(NOT(J107=0),"Pass","Fail")</f>
        <v>Pass</v>
      </c>
      <c r="M107" s="3" t="str">
        <f t="array" ref="M107">IF(AND(F107:I107&gt;6,J107&gt;=25),"Pass","Fail")</f>
        <v>Fail</v>
      </c>
      <c r="N107" s="3" t="str">
        <f t="array" ref="N107">IF(OR(F107:I107&gt;6,J107&gt;=25),"Pass","Fail")</f>
        <v>Pass</v>
      </c>
      <c r="O107" s="3">
        <f>COUNTIF(F107:I107,"&gt;6")</f>
        <v>2</v>
      </c>
      <c r="P107" s="3" t="str">
        <f>_xlfn.IFS((J107&lt;20),"Need Improvement",(J107=20),"Good",(J107&gt;20),"Very Good",(J107&gt;30),"Excellent")</f>
        <v>Very Good</v>
      </c>
      <c r="Q107" s="40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 x14ac:dyDescent="0.3">
      <c r="A108" s="3" t="s">
        <v>41</v>
      </c>
      <c r="B108" s="3" t="s">
        <v>42</v>
      </c>
      <c r="C108" s="3" t="s">
        <v>30</v>
      </c>
      <c r="D108" s="3" t="s">
        <v>43</v>
      </c>
      <c r="E108" s="4">
        <v>44610</v>
      </c>
      <c r="F108" s="5">
        <v>10</v>
      </c>
      <c r="G108" s="5">
        <v>4</v>
      </c>
      <c r="H108" s="5">
        <v>10</v>
      </c>
      <c r="I108" s="5">
        <v>4</v>
      </c>
      <c r="J108" s="6">
        <f>SUM(F108:I108)</f>
        <v>28</v>
      </c>
      <c r="K108" s="3" t="str">
        <f>IF(J108&gt;=25,"Qualified","Disqualified")</f>
        <v>Qualified</v>
      </c>
      <c r="L108" s="3" t="str">
        <f>IF(NOT(J108=0),"Pass","Fail")</f>
        <v>Pass</v>
      </c>
      <c r="M108" s="3" t="str">
        <f t="array" ref="M108">IF(AND(F108:I108&gt;6,J108&gt;=25),"Pass","Fail")</f>
        <v>Fail</v>
      </c>
      <c r="N108" s="3" t="str">
        <f t="array" ref="N108">IF(OR(F108:I108&gt;6,J108&gt;=25),"Pass","Fail")</f>
        <v>Pass</v>
      </c>
      <c r="O108" s="3">
        <f>COUNTIF(F108:I108,"&gt;6")</f>
        <v>2</v>
      </c>
      <c r="P108" s="3" t="str">
        <f>_xlfn.IFS((J108&lt;20),"Need Improvement",(J108=20),"Good",(J108&gt;20),"Very Good",(J108&gt;30),"Excellent")</f>
        <v>Very Good</v>
      </c>
      <c r="Q108" s="40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 x14ac:dyDescent="0.3">
      <c r="A109" s="3" t="s">
        <v>107</v>
      </c>
      <c r="B109" s="3" t="s">
        <v>108</v>
      </c>
      <c r="C109" s="3" t="s">
        <v>30</v>
      </c>
      <c r="D109" s="3" t="s">
        <v>56</v>
      </c>
      <c r="E109" s="4">
        <v>44515</v>
      </c>
      <c r="F109" s="5">
        <v>10</v>
      </c>
      <c r="G109" s="5">
        <v>6</v>
      </c>
      <c r="H109" s="5">
        <v>4</v>
      </c>
      <c r="I109" s="5">
        <v>8</v>
      </c>
      <c r="J109" s="6">
        <f>SUM(F109:I109)</f>
        <v>28</v>
      </c>
      <c r="K109" s="3" t="str">
        <f>IF(J109&gt;=25,"Qualified","Disqualified")</f>
        <v>Qualified</v>
      </c>
      <c r="L109" s="3" t="str">
        <f>IF(NOT(J109=0),"Pass","Fail")</f>
        <v>Pass</v>
      </c>
      <c r="M109" s="3" t="str">
        <f t="array" ref="M109">IF(AND(F109:I109&gt;6,J109&gt;=25),"Pass","Fail")</f>
        <v>Fail</v>
      </c>
      <c r="N109" s="3" t="str">
        <f t="array" ref="N109">IF(OR(F109:I109&gt;6,J109&gt;=25),"Pass","Fail")</f>
        <v>Pass</v>
      </c>
      <c r="O109" s="3">
        <f>COUNTIF(F109:I109,"&gt;6")</f>
        <v>2</v>
      </c>
      <c r="P109" s="3" t="str">
        <f>_xlfn.IFS((J109&lt;20),"Need Improvement",(J109=20),"Good",(J109&gt;20),"Very Good",(J109&gt;30),"Excellent")</f>
        <v>Very Good</v>
      </c>
      <c r="Q109" s="40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 x14ac:dyDescent="0.3">
      <c r="A110" s="3" t="s">
        <v>157</v>
      </c>
      <c r="B110" s="3" t="s">
        <v>158</v>
      </c>
      <c r="C110" s="3" t="s">
        <v>25</v>
      </c>
      <c r="D110" s="3" t="s">
        <v>50</v>
      </c>
      <c r="E110" s="4">
        <v>44993</v>
      </c>
      <c r="F110" s="5">
        <v>9</v>
      </c>
      <c r="G110" s="5">
        <v>7</v>
      </c>
      <c r="H110" s="5">
        <v>4</v>
      </c>
      <c r="I110" s="5">
        <v>8</v>
      </c>
      <c r="J110" s="6">
        <f>SUM(F110:I110)</f>
        <v>28</v>
      </c>
      <c r="K110" s="3" t="str">
        <f>IF(J110&gt;=25,"Qualified","Disqualified")</f>
        <v>Qualified</v>
      </c>
      <c r="L110" s="3" t="str">
        <f>IF(NOT(J110=0),"Pass","Fail")</f>
        <v>Pass</v>
      </c>
      <c r="M110" s="3" t="str">
        <f t="array" ref="M110">IF(AND(F110:I110&gt;6,J110&gt;=25),"Pass","Fail")</f>
        <v>Fail</v>
      </c>
      <c r="N110" s="3" t="str">
        <f t="array" ref="N110">IF(OR(F110:I110&gt;6,J110&gt;=25),"Pass","Fail")</f>
        <v>Pass</v>
      </c>
      <c r="O110" s="3">
        <f>COUNTIF(F110:I110,"&gt;6")</f>
        <v>3</v>
      </c>
      <c r="P110" s="3" t="str">
        <f>_xlfn.IFS((J110&lt;20),"Need Improvement",(J110=20),"Good",(J110&gt;20),"Very Good",(J110&gt;30),"Excellent")</f>
        <v>Very Good</v>
      </c>
      <c r="Q110" s="40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 x14ac:dyDescent="0.3">
      <c r="A111" s="3" t="s">
        <v>169</v>
      </c>
      <c r="B111" s="3" t="s">
        <v>170</v>
      </c>
      <c r="C111" s="3" t="s">
        <v>25</v>
      </c>
      <c r="D111" s="3" t="s">
        <v>96</v>
      </c>
      <c r="E111" s="4">
        <v>44625</v>
      </c>
      <c r="F111" s="5">
        <v>7</v>
      </c>
      <c r="G111" s="5">
        <v>9</v>
      </c>
      <c r="H111" s="5">
        <v>5</v>
      </c>
      <c r="I111" s="5">
        <v>7</v>
      </c>
      <c r="J111" s="6">
        <f>SUM(F111:I111)</f>
        <v>28</v>
      </c>
      <c r="K111" s="3" t="str">
        <f>IF(J111&gt;=25,"Qualified","Disqualified")</f>
        <v>Qualified</v>
      </c>
      <c r="L111" s="3" t="str">
        <f>IF(NOT(J111=0),"Pass","Fail")</f>
        <v>Pass</v>
      </c>
      <c r="M111" s="3" t="str">
        <f t="array" ref="M111">IF(AND(F111:I111&gt;6,J111&gt;=25),"Pass","Fail")</f>
        <v>Fail</v>
      </c>
      <c r="N111" s="3" t="str">
        <f t="array" ref="N111">IF(OR(F111:I111&gt;6,J111&gt;=25),"Pass","Fail")</f>
        <v>Pass</v>
      </c>
      <c r="O111" s="3">
        <f>COUNTIF(F111:I111,"&gt;6")</f>
        <v>3</v>
      </c>
      <c r="P111" s="3" t="str">
        <f>_xlfn.IFS((J111&lt;20),"Need Improvement",(J111=20),"Good",(J111&gt;20),"Very Good",(J111&gt;30),"Excellent")</f>
        <v>Very Good</v>
      </c>
      <c r="Q111" s="40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 x14ac:dyDescent="0.3">
      <c r="A112" s="3" t="s">
        <v>181</v>
      </c>
      <c r="B112" s="3" t="s">
        <v>182</v>
      </c>
      <c r="C112" s="3" t="s">
        <v>136</v>
      </c>
      <c r="D112" s="3" t="s">
        <v>129</v>
      </c>
      <c r="E112" s="4">
        <v>44843</v>
      </c>
      <c r="F112" s="5">
        <v>9</v>
      </c>
      <c r="G112" s="5">
        <v>5</v>
      </c>
      <c r="H112" s="5">
        <v>6</v>
      </c>
      <c r="I112" s="5">
        <v>8</v>
      </c>
      <c r="J112" s="6">
        <f>SUM(F112:I112)</f>
        <v>28</v>
      </c>
      <c r="K112" s="3" t="str">
        <f>IF(J112&gt;=25,"Qualified","Disqualified")</f>
        <v>Qualified</v>
      </c>
      <c r="L112" s="3" t="str">
        <f>IF(NOT(J112=0),"Pass","Fail")</f>
        <v>Pass</v>
      </c>
      <c r="M112" s="3" t="str">
        <f t="array" ref="M112">IF(AND(F112:I112&gt;6,J112&gt;=25),"Pass","Fail")</f>
        <v>Fail</v>
      </c>
      <c r="N112" s="3" t="str">
        <f t="array" ref="N112">IF(OR(F112:I112&gt;6,J112&gt;=25),"Pass","Fail")</f>
        <v>Pass</v>
      </c>
      <c r="O112" s="3">
        <f>COUNTIF(F112:I112,"&gt;6")</f>
        <v>2</v>
      </c>
      <c r="P112" s="3" t="str">
        <f>_xlfn.IFS((J112&lt;20),"Need Improvement",(J112=20),"Good",(J112&gt;20),"Very Good",(J112&gt;30),"Excellent")</f>
        <v>Very Good</v>
      </c>
      <c r="Q112" s="40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 x14ac:dyDescent="0.3">
      <c r="A113" s="3" t="s">
        <v>185</v>
      </c>
      <c r="B113" s="3" t="s">
        <v>186</v>
      </c>
      <c r="C113" s="3" t="s">
        <v>69</v>
      </c>
      <c r="D113" s="3" t="s">
        <v>26</v>
      </c>
      <c r="E113" s="4">
        <v>44544</v>
      </c>
      <c r="F113" s="5">
        <v>10</v>
      </c>
      <c r="G113" s="5">
        <v>5</v>
      </c>
      <c r="H113" s="5">
        <v>7</v>
      </c>
      <c r="I113" s="5">
        <v>6</v>
      </c>
      <c r="J113" s="6">
        <f>SUM(F113:I113)</f>
        <v>28</v>
      </c>
      <c r="K113" s="3" t="str">
        <f>IF(J113&gt;=25,"Qualified","Disqualified")</f>
        <v>Qualified</v>
      </c>
      <c r="L113" s="3" t="str">
        <f>IF(NOT(J113=0),"Pass","Fail")</f>
        <v>Pass</v>
      </c>
      <c r="M113" s="3" t="str">
        <f t="array" ref="M113">IF(AND(F113:I113&gt;6,J113&gt;=25),"Pass","Fail")</f>
        <v>Fail</v>
      </c>
      <c r="N113" s="3" t="str">
        <f t="array" ref="N113">IF(OR(F113:I113&gt;6,J113&gt;=25),"Pass","Fail")</f>
        <v>Pass</v>
      </c>
      <c r="O113" s="3">
        <f>COUNTIF(F113:I113,"&gt;6")</f>
        <v>2</v>
      </c>
      <c r="P113" s="3" t="str">
        <f>_xlfn.IFS((J113&lt;20),"Need Improvement",(J113=20),"Good",(J113&gt;20),"Very Good",(J113&gt;30),"Excellent")</f>
        <v>Very Good</v>
      </c>
      <c r="Q113" s="40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 x14ac:dyDescent="0.3">
      <c r="A114" s="3" t="s">
        <v>189</v>
      </c>
      <c r="B114" s="3" t="s">
        <v>190</v>
      </c>
      <c r="C114" s="3" t="s">
        <v>69</v>
      </c>
      <c r="D114" s="3" t="s">
        <v>56</v>
      </c>
      <c r="E114" s="4">
        <v>44354</v>
      </c>
      <c r="F114" s="5">
        <v>5</v>
      </c>
      <c r="G114" s="5">
        <v>7</v>
      </c>
      <c r="H114" s="5">
        <v>10</v>
      </c>
      <c r="I114" s="5">
        <v>6</v>
      </c>
      <c r="J114" s="6">
        <f>SUM(F114:I114)</f>
        <v>28</v>
      </c>
      <c r="K114" s="3" t="str">
        <f>IF(J114&gt;=25,"Qualified","Disqualified")</f>
        <v>Qualified</v>
      </c>
      <c r="L114" s="3" t="str">
        <f>IF(NOT(J114=0),"Pass","Fail")</f>
        <v>Pass</v>
      </c>
      <c r="M114" s="3" t="str">
        <f t="array" ref="M114">IF(AND(F114:I114&gt;6,J114&gt;=25),"Pass","Fail")</f>
        <v>Fail</v>
      </c>
      <c r="N114" s="3" t="str">
        <f t="array" ref="N114">IF(OR(F114:I114&gt;6,J114&gt;=25),"Pass","Fail")</f>
        <v>Pass</v>
      </c>
      <c r="O114" s="3">
        <f>COUNTIF(F114:I114,"&gt;6")</f>
        <v>2</v>
      </c>
      <c r="P114" s="3" t="str">
        <f>_xlfn.IFS((J114&lt;20),"Need Improvement",(J114=20),"Good",(J114&gt;20),"Very Good",(J114&gt;30),"Excellent")</f>
        <v>Very Good</v>
      </c>
      <c r="Q114" s="40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 x14ac:dyDescent="0.3">
      <c r="A115" s="3" t="s">
        <v>225</v>
      </c>
      <c r="B115" s="3" t="s">
        <v>226</v>
      </c>
      <c r="C115" s="3" t="s">
        <v>136</v>
      </c>
      <c r="D115" s="3" t="s">
        <v>31</v>
      </c>
      <c r="E115" s="4">
        <v>44735</v>
      </c>
      <c r="F115" s="5">
        <v>8</v>
      </c>
      <c r="G115" s="5">
        <v>4</v>
      </c>
      <c r="H115" s="5">
        <v>10</v>
      </c>
      <c r="I115" s="5">
        <v>6</v>
      </c>
      <c r="J115" s="6">
        <f>SUM(F115:I115)</f>
        <v>28</v>
      </c>
      <c r="K115" s="3" t="str">
        <f>IF(J115&gt;=25,"Qualified","Disqualified")</f>
        <v>Qualified</v>
      </c>
      <c r="L115" s="3" t="str">
        <f>IF(NOT(J115=0),"Pass","Fail")</f>
        <v>Pass</v>
      </c>
      <c r="M115" s="3" t="str">
        <f t="array" ref="M115">IF(AND(F115:I115&gt;6,J115&gt;=25),"Pass","Fail")</f>
        <v>Fail</v>
      </c>
      <c r="N115" s="3" t="str">
        <f t="array" ref="N115">IF(OR(F115:I115&gt;6,J115&gt;=25),"Pass","Fail")</f>
        <v>Pass</v>
      </c>
      <c r="O115" s="3">
        <f>COUNTIF(F115:I115,"&gt;6")</f>
        <v>2</v>
      </c>
      <c r="P115" s="3" t="str">
        <f>_xlfn.IFS((J115&lt;20),"Need Improvement",(J115=20),"Good",(J115&gt;20),"Very Good",(J115&gt;30),"Excellent")</f>
        <v>Very Good</v>
      </c>
      <c r="Q115" s="40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 x14ac:dyDescent="0.3">
      <c r="A116" s="3" t="s">
        <v>243</v>
      </c>
      <c r="B116" s="3" t="s">
        <v>244</v>
      </c>
      <c r="C116" s="3" t="s">
        <v>25</v>
      </c>
      <c r="D116" s="3" t="s">
        <v>56</v>
      </c>
      <c r="E116" s="4">
        <v>44641</v>
      </c>
      <c r="F116" s="5"/>
      <c r="G116" s="5">
        <v>9</v>
      </c>
      <c r="H116" s="5">
        <v>10</v>
      </c>
      <c r="I116" s="5">
        <v>9</v>
      </c>
      <c r="J116" s="6">
        <f>SUM(F116:I116)</f>
        <v>28</v>
      </c>
      <c r="K116" s="3" t="str">
        <f>IF(J116&gt;=25,"Qualified","Disqualified")</f>
        <v>Qualified</v>
      </c>
      <c r="L116" s="3" t="str">
        <f>IF(NOT(J116=0),"Pass","Fail")</f>
        <v>Pass</v>
      </c>
      <c r="M116" s="3" t="str">
        <f t="array" ref="M116">IF(AND(F116:I116&gt;6,J116&gt;=25),"Pass","Fail")</f>
        <v>Fail</v>
      </c>
      <c r="N116" s="3" t="str">
        <f t="array" ref="N116">IF(OR(F116:I116&gt;6,J116&gt;=25),"Pass","Fail")</f>
        <v>Pass</v>
      </c>
      <c r="O116" s="3">
        <f>COUNTIF(F116:I116,"&gt;6")</f>
        <v>3</v>
      </c>
      <c r="P116" s="3" t="str">
        <f>_xlfn.IFS((J116&lt;20),"Need Improvement",(J116=20),"Good",(J116&gt;20),"Very Good",(J116&gt;30),"Excellent")</f>
        <v>Very Good</v>
      </c>
      <c r="Q116" s="40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 x14ac:dyDescent="0.3">
      <c r="A117" s="3" t="s">
        <v>253</v>
      </c>
      <c r="B117" s="3" t="s">
        <v>254</v>
      </c>
      <c r="C117" s="3" t="s">
        <v>25</v>
      </c>
      <c r="D117" s="3" t="s">
        <v>50</v>
      </c>
      <c r="E117" s="4">
        <v>44349</v>
      </c>
      <c r="F117" s="5">
        <v>10</v>
      </c>
      <c r="G117" s="5">
        <v>7</v>
      </c>
      <c r="H117" s="5">
        <v>6</v>
      </c>
      <c r="I117" s="5">
        <v>5</v>
      </c>
      <c r="J117" s="6">
        <f>SUM(F117:I117)</f>
        <v>28</v>
      </c>
      <c r="K117" s="3" t="str">
        <f>IF(J117&gt;=25,"Qualified","Disqualified")</f>
        <v>Qualified</v>
      </c>
      <c r="L117" s="3" t="str">
        <f>IF(NOT(J117=0),"Pass","Fail")</f>
        <v>Pass</v>
      </c>
      <c r="M117" s="3" t="str">
        <f t="array" ref="M117">IF(AND(F117:I117&gt;6,J117&gt;=25),"Pass","Fail")</f>
        <v>Fail</v>
      </c>
      <c r="N117" s="3" t="str">
        <f t="array" ref="N117">IF(OR(F117:I117&gt;6,J117&gt;=25),"Pass","Fail")</f>
        <v>Pass</v>
      </c>
      <c r="O117" s="3">
        <f>COUNTIF(F117:I117,"&gt;6")</f>
        <v>2</v>
      </c>
      <c r="P117" s="3" t="str">
        <f>_xlfn.IFS((J117&lt;20),"Need Improvement",(J117=20),"Good",(J117&gt;20),"Very Good",(J117&gt;30),"Excellent")</f>
        <v>Very Good</v>
      </c>
      <c r="Q117" s="40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 x14ac:dyDescent="0.3">
      <c r="A118" s="3" t="s">
        <v>271</v>
      </c>
      <c r="B118" s="3" t="s">
        <v>272</v>
      </c>
      <c r="C118" s="3" t="s">
        <v>69</v>
      </c>
      <c r="D118" s="3" t="s">
        <v>26</v>
      </c>
      <c r="E118" s="4">
        <v>44488</v>
      </c>
      <c r="F118" s="5">
        <v>9</v>
      </c>
      <c r="G118" s="5">
        <v>8</v>
      </c>
      <c r="H118" s="5">
        <v>6</v>
      </c>
      <c r="I118" s="5">
        <v>5</v>
      </c>
      <c r="J118" s="6">
        <f>SUM(F118:I118)</f>
        <v>28</v>
      </c>
      <c r="K118" s="3" t="str">
        <f>IF(J118&gt;=25,"Qualified","Disqualified")</f>
        <v>Qualified</v>
      </c>
      <c r="L118" s="3" t="str">
        <f>IF(NOT(J118=0),"Pass","Fail")</f>
        <v>Pass</v>
      </c>
      <c r="M118" s="3" t="str">
        <f t="array" ref="M118">IF(AND(F118:I118&gt;6,J118&gt;=25),"Pass","Fail")</f>
        <v>Fail</v>
      </c>
      <c r="N118" s="3" t="str">
        <f t="array" ref="N118">IF(OR(F118:I118&gt;6,J118&gt;=25),"Pass","Fail")</f>
        <v>Pass</v>
      </c>
      <c r="O118" s="3">
        <f>COUNTIF(F118:I118,"&gt;6")</f>
        <v>2</v>
      </c>
      <c r="P118" s="3" t="str">
        <f>_xlfn.IFS((J118&lt;20),"Need Improvement",(J118=20),"Good",(J118&gt;20),"Very Good",(J118&gt;30),"Excellent")</f>
        <v>Very Good</v>
      </c>
      <c r="Q118" s="40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 x14ac:dyDescent="0.3">
      <c r="A119" s="3" t="s">
        <v>316</v>
      </c>
      <c r="B119" s="3" t="s">
        <v>317</v>
      </c>
      <c r="C119" s="3" t="s">
        <v>60</v>
      </c>
      <c r="D119" s="3" t="s">
        <v>56</v>
      </c>
      <c r="E119" s="4">
        <v>44634</v>
      </c>
      <c r="F119" s="5">
        <v>8</v>
      </c>
      <c r="G119" s="5">
        <v>6</v>
      </c>
      <c r="H119" s="5">
        <v>10</v>
      </c>
      <c r="I119" s="5">
        <v>4</v>
      </c>
      <c r="J119" s="6">
        <f>SUM(F119:I119)</f>
        <v>28</v>
      </c>
      <c r="K119" s="3" t="str">
        <f>IF(J119&gt;=25,"Qualified","Disqualified")</f>
        <v>Qualified</v>
      </c>
      <c r="L119" s="3" t="str">
        <f>IF(NOT(J119=0),"Pass","Fail")</f>
        <v>Pass</v>
      </c>
      <c r="M119" s="3" t="str">
        <f t="array" ref="M119">IF(AND(F119:I119&gt;6,J119&gt;=25),"Pass","Fail")</f>
        <v>Fail</v>
      </c>
      <c r="N119" s="3" t="str">
        <f t="array" ref="N119">IF(OR(F119:I119&gt;6,J119&gt;=25),"Pass","Fail")</f>
        <v>Pass</v>
      </c>
      <c r="O119" s="3">
        <f>COUNTIF(F119:I119,"&gt;6")</f>
        <v>2</v>
      </c>
      <c r="P119" s="3" t="str">
        <f>_xlfn.IFS((J119&lt;20),"Need Improvement",(J119=20),"Good",(J119&gt;20),"Very Good",(J119&gt;30),"Excellent")</f>
        <v>Very Good</v>
      </c>
      <c r="Q119" s="40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 x14ac:dyDescent="0.3">
      <c r="A120" s="3" t="s">
        <v>322</v>
      </c>
      <c r="B120" s="3" t="s">
        <v>323</v>
      </c>
      <c r="C120" s="3" t="s">
        <v>25</v>
      </c>
      <c r="D120" s="3" t="s">
        <v>31</v>
      </c>
      <c r="E120" s="4">
        <v>44637</v>
      </c>
      <c r="F120" s="5">
        <v>8</v>
      </c>
      <c r="G120" s="5">
        <v>6</v>
      </c>
      <c r="H120" s="5">
        <v>6</v>
      </c>
      <c r="I120" s="5">
        <v>8</v>
      </c>
      <c r="J120" s="6">
        <f>SUM(F120:I120)</f>
        <v>28</v>
      </c>
      <c r="K120" s="3" t="str">
        <f>IF(J120&gt;=25,"Qualified","Disqualified")</f>
        <v>Qualified</v>
      </c>
      <c r="L120" s="3" t="str">
        <f>IF(NOT(J120=0),"Pass","Fail")</f>
        <v>Pass</v>
      </c>
      <c r="M120" s="3" t="str">
        <f t="array" ref="M120">IF(AND(F120:I120&gt;6,J120&gt;=25),"Pass","Fail")</f>
        <v>Fail</v>
      </c>
      <c r="N120" s="3" t="str">
        <f t="array" ref="N120">IF(OR(F120:I120&gt;6,J120&gt;=25),"Pass","Fail")</f>
        <v>Pass</v>
      </c>
      <c r="O120" s="3">
        <f>COUNTIF(F120:I120,"&gt;6")</f>
        <v>2</v>
      </c>
      <c r="P120" s="3" t="str">
        <f>_xlfn.IFS((J120&lt;20),"Need Improvement",(J120=20),"Good",(J120&gt;20),"Very Good",(J120&gt;30),"Excellent")</f>
        <v>Very Good</v>
      </c>
      <c r="Q120" s="40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 x14ac:dyDescent="0.3">
      <c r="A121" s="3" t="s">
        <v>344</v>
      </c>
      <c r="B121" s="3" t="s">
        <v>345</v>
      </c>
      <c r="C121" s="3" t="s">
        <v>136</v>
      </c>
      <c r="D121" s="3" t="s">
        <v>43</v>
      </c>
      <c r="E121" s="4">
        <v>44995</v>
      </c>
      <c r="F121" s="5">
        <v>8</v>
      </c>
      <c r="G121" s="5">
        <v>9</v>
      </c>
      <c r="H121" s="5">
        <v>4</v>
      </c>
      <c r="I121" s="5">
        <v>7</v>
      </c>
      <c r="J121" s="6">
        <f>SUM(F121:I121)</f>
        <v>28</v>
      </c>
      <c r="K121" s="3" t="str">
        <f>IF(J121&gt;=25,"Qualified","Disqualified")</f>
        <v>Qualified</v>
      </c>
      <c r="L121" s="3" t="str">
        <f>IF(NOT(J121=0),"Pass","Fail")</f>
        <v>Pass</v>
      </c>
      <c r="M121" s="3" t="str">
        <f t="array" ref="M121">IF(AND(F121:I121&gt;6,J121&gt;=25),"Pass","Fail")</f>
        <v>Fail</v>
      </c>
      <c r="N121" s="3" t="str">
        <f t="array" ref="N121">IF(OR(F121:I121&gt;6,J121&gt;=25),"Pass","Fail")</f>
        <v>Pass</v>
      </c>
      <c r="O121" s="3">
        <f>COUNTIF(F121:I121,"&gt;6")</f>
        <v>3</v>
      </c>
      <c r="P121" s="3" t="str">
        <f>_xlfn.IFS((J121&lt;20),"Need Improvement",(J121=20),"Good",(J121&gt;20),"Very Good",(J121&gt;30),"Excellent")</f>
        <v>Very Good</v>
      </c>
      <c r="Q121" s="40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 x14ac:dyDescent="0.3">
      <c r="A122" s="3" t="s">
        <v>364</v>
      </c>
      <c r="B122" s="3" t="s">
        <v>365</v>
      </c>
      <c r="C122" s="3" t="s">
        <v>25</v>
      </c>
      <c r="D122" s="3" t="s">
        <v>26</v>
      </c>
      <c r="E122" s="4">
        <v>44747</v>
      </c>
      <c r="F122" s="5">
        <v>7</v>
      </c>
      <c r="G122" s="5">
        <v>5</v>
      </c>
      <c r="H122" s="5">
        <v>8</v>
      </c>
      <c r="I122" s="5">
        <v>8</v>
      </c>
      <c r="J122" s="6">
        <f>SUM(F122:I122)</f>
        <v>28</v>
      </c>
      <c r="K122" s="3" t="str">
        <f>IF(J122&gt;=25,"Qualified","Disqualified")</f>
        <v>Qualified</v>
      </c>
      <c r="L122" s="3" t="str">
        <f>IF(NOT(J122=0),"Pass","Fail")</f>
        <v>Pass</v>
      </c>
      <c r="M122" s="3" t="str">
        <f t="array" ref="M122">IF(AND(F122:I122&gt;6,J122&gt;=25),"Pass","Fail")</f>
        <v>Fail</v>
      </c>
      <c r="N122" s="3" t="str">
        <f t="array" ref="N122">IF(OR(F122:I122&gt;6,J122&gt;=25),"Pass","Fail")</f>
        <v>Pass</v>
      </c>
      <c r="O122" s="3">
        <f>COUNTIF(F122:I122,"&gt;6")</f>
        <v>3</v>
      </c>
      <c r="P122" s="3" t="str">
        <f>_xlfn.IFS((J122&lt;20),"Need Improvement",(J122=20),"Good",(J122&gt;20),"Very Good",(J122&gt;30),"Excellent")</f>
        <v>Very Good</v>
      </c>
      <c r="Q122" s="40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 x14ac:dyDescent="0.3">
      <c r="A123" s="3" t="s">
        <v>378</v>
      </c>
      <c r="B123" s="3" t="s">
        <v>379</v>
      </c>
      <c r="C123" s="3" t="s">
        <v>25</v>
      </c>
      <c r="D123" s="3" t="s">
        <v>96</v>
      </c>
      <c r="E123" s="4">
        <v>44352</v>
      </c>
      <c r="F123" s="5">
        <v>6</v>
      </c>
      <c r="G123" s="5">
        <v>4</v>
      </c>
      <c r="H123" s="5">
        <v>10</v>
      </c>
      <c r="I123" s="5">
        <v>8</v>
      </c>
      <c r="J123" s="6">
        <f>SUM(F123:I123)</f>
        <v>28</v>
      </c>
      <c r="K123" s="3" t="str">
        <f>IF(J123&gt;=25,"Qualified","Disqualified")</f>
        <v>Qualified</v>
      </c>
      <c r="L123" s="3" t="str">
        <f>IF(NOT(J123=0),"Pass","Fail")</f>
        <v>Pass</v>
      </c>
      <c r="M123" s="3" t="str">
        <f t="array" ref="M123">IF(AND(F123:I123&gt;6,J123&gt;=25),"Pass","Fail")</f>
        <v>Fail</v>
      </c>
      <c r="N123" s="3" t="str">
        <f t="array" ref="N123">IF(OR(F123:I123&gt;6,J123&gt;=25),"Pass","Fail")</f>
        <v>Pass</v>
      </c>
      <c r="O123" s="3">
        <f>COUNTIF(F123:I123,"&gt;6")</f>
        <v>2</v>
      </c>
      <c r="P123" s="3" t="str">
        <f>_xlfn.IFS((J123&lt;20),"Need Improvement",(J123=20),"Good",(J123&gt;20),"Very Good",(J123&gt;30),"Excellent")</f>
        <v>Very Good</v>
      </c>
      <c r="Q123" s="40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 x14ac:dyDescent="0.3">
      <c r="A124" s="3" t="s">
        <v>390</v>
      </c>
      <c r="B124" s="3" t="s">
        <v>194</v>
      </c>
      <c r="C124" s="3" t="s">
        <v>69</v>
      </c>
      <c r="D124" s="3" t="s">
        <v>31</v>
      </c>
      <c r="E124" s="4">
        <v>44532</v>
      </c>
      <c r="F124" s="5">
        <v>4</v>
      </c>
      <c r="G124" s="5">
        <v>8</v>
      </c>
      <c r="H124" s="5">
        <v>10</v>
      </c>
      <c r="I124" s="5">
        <v>6</v>
      </c>
      <c r="J124" s="6">
        <f>SUM(F124:I124)</f>
        <v>28</v>
      </c>
      <c r="K124" s="3" t="str">
        <f>IF(J124&gt;=25,"Qualified","Disqualified")</f>
        <v>Qualified</v>
      </c>
      <c r="L124" s="3" t="str">
        <f>IF(NOT(J124=0),"Pass","Fail")</f>
        <v>Pass</v>
      </c>
      <c r="M124" s="3" t="str">
        <f t="array" ref="M124">IF(AND(F124:I124&gt;6,J124&gt;=25),"Pass","Fail")</f>
        <v>Fail</v>
      </c>
      <c r="N124" s="3" t="str">
        <f t="array" ref="N124">IF(OR(F124:I124&gt;6,J124&gt;=25),"Pass","Fail")</f>
        <v>Pass</v>
      </c>
      <c r="O124" s="3">
        <f>COUNTIF(F124:I124,"&gt;6")</f>
        <v>2</v>
      </c>
      <c r="P124" s="3" t="str">
        <f>_xlfn.IFS((J124&lt;20),"Need Improvement",(J124=20),"Good",(J124&gt;20),"Very Good",(J124&gt;30),"Excellent")</f>
        <v>Very Good</v>
      </c>
      <c r="Q124" s="40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 x14ac:dyDescent="0.3">
      <c r="A125" s="3" t="s">
        <v>28</v>
      </c>
      <c r="B125" s="3" t="s">
        <v>29</v>
      </c>
      <c r="C125" s="3" t="s">
        <v>30</v>
      </c>
      <c r="D125" s="3" t="s">
        <v>31</v>
      </c>
      <c r="E125" s="4">
        <v>44420</v>
      </c>
      <c r="F125" s="5">
        <v>10</v>
      </c>
      <c r="G125" s="5">
        <v>5</v>
      </c>
      <c r="H125" s="5">
        <v>5</v>
      </c>
      <c r="I125" s="5">
        <v>9</v>
      </c>
      <c r="J125" s="6">
        <f>SUM(F125:I125)</f>
        <v>29</v>
      </c>
      <c r="K125" s="3" t="str">
        <f>IF(J125&gt;=25,"Qualified","Disqualified")</f>
        <v>Qualified</v>
      </c>
      <c r="L125" s="3" t="str">
        <f>IF(NOT(J125=0),"Pass","Fail")</f>
        <v>Pass</v>
      </c>
      <c r="M125" s="3" t="str">
        <f t="array" ref="M125">IF(AND(F125:I125&gt;6,J125&gt;=25),"Pass","Fail")</f>
        <v>Fail</v>
      </c>
      <c r="N125" s="3" t="str">
        <f t="array" ref="N125">IF(OR(F125:I125&gt;6,J125&gt;=25),"Pass","Fail")</f>
        <v>Pass</v>
      </c>
      <c r="O125" s="3">
        <f>COUNTIF(F125:I125,"&gt;6")</f>
        <v>2</v>
      </c>
      <c r="P125" s="3" t="str">
        <f>_xlfn.IFS((J125&lt;20),"Need Improvement",(J125=20),"Good",(J125&gt;20),"Very Good",(J125&gt;30),"Excellent")</f>
        <v>Very Good</v>
      </c>
      <c r="Q125" s="40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 x14ac:dyDescent="0.3">
      <c r="A126" s="3" t="s">
        <v>111</v>
      </c>
      <c r="B126" s="3" t="s">
        <v>112</v>
      </c>
      <c r="C126" s="3" t="s">
        <v>25</v>
      </c>
      <c r="D126" s="3" t="s">
        <v>43</v>
      </c>
      <c r="E126" s="4">
        <v>44393</v>
      </c>
      <c r="F126" s="5">
        <v>4</v>
      </c>
      <c r="G126" s="5">
        <v>8</v>
      </c>
      <c r="H126" s="5">
        <v>7</v>
      </c>
      <c r="I126" s="5">
        <v>10</v>
      </c>
      <c r="J126" s="6">
        <f>SUM(F126:I126)</f>
        <v>29</v>
      </c>
      <c r="K126" s="3" t="str">
        <f>IF(J126&gt;=25,"Qualified","Disqualified")</f>
        <v>Qualified</v>
      </c>
      <c r="L126" s="3" t="str">
        <f>IF(NOT(J126=0),"Pass","Fail")</f>
        <v>Pass</v>
      </c>
      <c r="M126" s="3" t="str">
        <f t="array" ref="M126">IF(AND(F126:I126&gt;6,J126&gt;=25),"Pass","Fail")</f>
        <v>Fail</v>
      </c>
      <c r="N126" s="3" t="str">
        <f t="array" ref="N126">IF(OR(F126:I126&gt;6,J126&gt;=25),"Pass","Fail")</f>
        <v>Pass</v>
      </c>
      <c r="O126" s="3">
        <f>COUNTIF(F126:I126,"&gt;6")</f>
        <v>3</v>
      </c>
      <c r="P126" s="3" t="str">
        <f>_xlfn.IFS((J126&lt;20),"Need Improvement",(J126=20),"Good",(J126&gt;20),"Very Good",(J126&gt;30),"Excellent")</f>
        <v>Very Good</v>
      </c>
      <c r="Q126" s="40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 x14ac:dyDescent="0.3">
      <c r="A127" s="3" t="s">
        <v>119</v>
      </c>
      <c r="B127" s="3" t="s">
        <v>120</v>
      </c>
      <c r="C127" s="3" t="s">
        <v>34</v>
      </c>
      <c r="D127" s="3" t="s">
        <v>31</v>
      </c>
      <c r="E127" s="4">
        <v>44840</v>
      </c>
      <c r="F127" s="5">
        <v>5</v>
      </c>
      <c r="G127" s="5">
        <v>8</v>
      </c>
      <c r="H127" s="5">
        <v>7</v>
      </c>
      <c r="I127" s="5">
        <v>9</v>
      </c>
      <c r="J127" s="6">
        <f>SUM(F127:I127)</f>
        <v>29</v>
      </c>
      <c r="K127" s="3" t="str">
        <f>IF(J127&gt;=25,"Qualified","Disqualified")</f>
        <v>Qualified</v>
      </c>
      <c r="L127" s="3" t="str">
        <f>IF(NOT(J127=0),"Pass","Fail")</f>
        <v>Pass</v>
      </c>
      <c r="M127" s="3" t="str">
        <f t="array" ref="M127">IF(AND(F127:I127&gt;6,J127&gt;=25),"Pass","Fail")</f>
        <v>Fail</v>
      </c>
      <c r="N127" s="3" t="str">
        <f t="array" ref="N127">IF(OR(F127:I127&gt;6,J127&gt;=25),"Pass","Fail")</f>
        <v>Pass</v>
      </c>
      <c r="O127" s="3">
        <f>COUNTIF(F127:I127,"&gt;6")</f>
        <v>3</v>
      </c>
      <c r="P127" s="3" t="str">
        <f>_xlfn.IFS((J127&lt;20),"Need Improvement",(J127=20),"Good",(J127&gt;20),"Very Good",(J127&gt;30),"Excellent")</f>
        <v>Very Good</v>
      </c>
      <c r="Q127" s="40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 x14ac:dyDescent="0.3">
      <c r="A128" s="3" t="s">
        <v>130</v>
      </c>
      <c r="B128" s="3" t="s">
        <v>131</v>
      </c>
      <c r="C128" s="3" t="s">
        <v>90</v>
      </c>
      <c r="D128" s="3" t="s">
        <v>50</v>
      </c>
      <c r="E128" s="4">
        <v>44496</v>
      </c>
      <c r="F128" s="5">
        <v>8</v>
      </c>
      <c r="G128" s="5">
        <v>8</v>
      </c>
      <c r="H128" s="5">
        <v>7</v>
      </c>
      <c r="I128" s="5">
        <v>6</v>
      </c>
      <c r="J128" s="6">
        <f>SUM(F128:I128)</f>
        <v>29</v>
      </c>
      <c r="K128" s="3" t="str">
        <f>IF(J128&gt;=25,"Qualified","Disqualified")</f>
        <v>Qualified</v>
      </c>
      <c r="L128" s="3" t="str">
        <f>IF(NOT(J128=0),"Pass","Fail")</f>
        <v>Pass</v>
      </c>
      <c r="M128" s="3" t="str">
        <f t="array" ref="M128">IF(AND(F128:I128&gt;6,J128&gt;=25),"Pass","Fail")</f>
        <v>Fail</v>
      </c>
      <c r="N128" s="3" t="str">
        <f t="array" ref="N128">IF(OR(F128:I128&gt;6,J128&gt;=25),"Pass","Fail")</f>
        <v>Pass</v>
      </c>
      <c r="O128" s="3">
        <f>COUNTIF(F128:I128,"&gt;6")</f>
        <v>3</v>
      </c>
      <c r="P128" s="3" t="str">
        <f>_xlfn.IFS((J128&lt;20),"Need Improvement",(J128=20),"Good",(J128&gt;20),"Very Good",(J128&gt;30),"Excellent")</f>
        <v>Very Good</v>
      </c>
      <c r="Q128" s="40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 x14ac:dyDescent="0.3">
      <c r="A129" s="3" t="s">
        <v>179</v>
      </c>
      <c r="B129" s="3" t="s">
        <v>180</v>
      </c>
      <c r="C129" s="3" t="s">
        <v>136</v>
      </c>
      <c r="D129" s="3" t="s">
        <v>31</v>
      </c>
      <c r="E129" s="4">
        <v>44434</v>
      </c>
      <c r="F129" s="5">
        <v>8</v>
      </c>
      <c r="G129" s="5">
        <v>4</v>
      </c>
      <c r="H129" s="5">
        <v>10</v>
      </c>
      <c r="I129" s="5">
        <v>7</v>
      </c>
      <c r="J129" s="6">
        <f>SUM(F129:I129)</f>
        <v>29</v>
      </c>
      <c r="K129" s="3" t="str">
        <f>IF(J129&gt;=25,"Qualified","Disqualified")</f>
        <v>Qualified</v>
      </c>
      <c r="L129" s="3" t="str">
        <f>IF(NOT(J129=0),"Pass","Fail")</f>
        <v>Pass</v>
      </c>
      <c r="M129" s="3" t="str">
        <f t="array" ref="M129">IF(AND(F129:I129&gt;6,J129&gt;=25),"Pass","Fail")</f>
        <v>Fail</v>
      </c>
      <c r="N129" s="3" t="str">
        <f t="array" ref="N129">IF(OR(F129:I129&gt;6,J129&gt;=25),"Pass","Fail")</f>
        <v>Pass</v>
      </c>
      <c r="O129" s="3">
        <f>COUNTIF(F129:I129,"&gt;6")</f>
        <v>3</v>
      </c>
      <c r="P129" s="3" t="str">
        <f>_xlfn.IFS((J129&lt;20),"Need Improvement",(J129=20),"Good",(J129&gt;20),"Very Good",(J129&gt;30),"Excellent")</f>
        <v>Very Good</v>
      </c>
      <c r="Q129" s="40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 x14ac:dyDescent="0.3">
      <c r="A130" s="3" t="s">
        <v>193</v>
      </c>
      <c r="B130" s="3" t="s">
        <v>194</v>
      </c>
      <c r="C130" s="3" t="s">
        <v>60</v>
      </c>
      <c r="D130" s="3" t="s">
        <v>56</v>
      </c>
      <c r="E130" s="4">
        <v>44480</v>
      </c>
      <c r="F130" s="5">
        <v>7</v>
      </c>
      <c r="G130" s="5">
        <v>6</v>
      </c>
      <c r="H130" s="5">
        <v>6</v>
      </c>
      <c r="I130" s="5">
        <v>10</v>
      </c>
      <c r="J130" s="6">
        <f>SUM(F130:I130)</f>
        <v>29</v>
      </c>
      <c r="K130" s="3" t="str">
        <f>IF(J130&gt;=25,"Qualified","Disqualified")</f>
        <v>Qualified</v>
      </c>
      <c r="L130" s="3" t="str">
        <f>IF(NOT(J130=0),"Pass","Fail")</f>
        <v>Pass</v>
      </c>
      <c r="M130" s="3" t="str">
        <f t="array" ref="M130">IF(AND(F130:I130&gt;6,J130&gt;=25),"Pass","Fail")</f>
        <v>Fail</v>
      </c>
      <c r="N130" s="3" t="str">
        <f t="array" ref="N130">IF(OR(F130:I130&gt;6,J130&gt;=25),"Pass","Fail")</f>
        <v>Pass</v>
      </c>
      <c r="O130" s="3">
        <f>COUNTIF(F130:I130,"&gt;6")</f>
        <v>2</v>
      </c>
      <c r="P130" s="3" t="str">
        <f>_xlfn.IFS((J130&lt;20),"Need Improvement",(J130=20),"Good",(J130&gt;20),"Very Good",(J130&gt;30),"Excellent")</f>
        <v>Very Good</v>
      </c>
      <c r="Q130" s="40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 x14ac:dyDescent="0.3">
      <c r="A131" s="3" t="s">
        <v>304</v>
      </c>
      <c r="B131" s="3" t="s">
        <v>305</v>
      </c>
      <c r="C131" s="3" t="s">
        <v>136</v>
      </c>
      <c r="D131" s="3" t="s">
        <v>129</v>
      </c>
      <c r="E131" s="4">
        <v>44423</v>
      </c>
      <c r="F131" s="5">
        <v>9</v>
      </c>
      <c r="G131" s="5">
        <v>7</v>
      </c>
      <c r="H131" s="5">
        <v>8</v>
      </c>
      <c r="I131" s="5">
        <v>5</v>
      </c>
      <c r="J131" s="6">
        <f>SUM(F131:I131)</f>
        <v>29</v>
      </c>
      <c r="K131" s="3" t="str">
        <f>IF(J131&gt;=25,"Qualified","Disqualified")</f>
        <v>Qualified</v>
      </c>
      <c r="L131" s="3" t="str">
        <f>IF(NOT(J131=0),"Pass","Fail")</f>
        <v>Pass</v>
      </c>
      <c r="M131" s="3" t="str">
        <f t="array" ref="M131">IF(AND(F131:I131&gt;6,J131&gt;=25),"Pass","Fail")</f>
        <v>Fail</v>
      </c>
      <c r="N131" s="3" t="str">
        <f t="array" ref="N131">IF(OR(F131:I131&gt;6,J131&gt;=25),"Pass","Fail")</f>
        <v>Pass</v>
      </c>
      <c r="O131" s="3">
        <f>COUNTIF(F131:I131,"&gt;6")</f>
        <v>3</v>
      </c>
      <c r="P131" s="3" t="str">
        <f>_xlfn.IFS((J131&lt;20),"Need Improvement",(J131=20),"Good",(J131&gt;20),"Very Good",(J131&gt;30),"Excellent")</f>
        <v>Very Good</v>
      </c>
      <c r="Q131" s="40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 x14ac:dyDescent="0.3">
      <c r="A132" s="3" t="s">
        <v>346</v>
      </c>
      <c r="B132" s="3" t="s">
        <v>347</v>
      </c>
      <c r="C132" s="3" t="s">
        <v>136</v>
      </c>
      <c r="D132" s="3" t="s">
        <v>56</v>
      </c>
      <c r="E132" s="4">
        <v>44886</v>
      </c>
      <c r="F132" s="5">
        <v>5</v>
      </c>
      <c r="G132" s="5">
        <v>8</v>
      </c>
      <c r="H132" s="5">
        <v>6</v>
      </c>
      <c r="I132" s="5">
        <v>10</v>
      </c>
      <c r="J132" s="6">
        <f>SUM(F132:I132)</f>
        <v>29</v>
      </c>
      <c r="K132" s="3" t="str">
        <f>IF(J132&gt;=25,"Qualified","Disqualified")</f>
        <v>Qualified</v>
      </c>
      <c r="L132" s="3" t="str">
        <f>IF(NOT(J132=0),"Pass","Fail")</f>
        <v>Pass</v>
      </c>
      <c r="M132" s="3" t="str">
        <f t="array" ref="M132">IF(AND(F132:I132&gt;6,J132&gt;=25),"Pass","Fail")</f>
        <v>Fail</v>
      </c>
      <c r="N132" s="3" t="str">
        <f t="array" ref="N132">IF(OR(F132:I132&gt;6,J132&gt;=25),"Pass","Fail")</f>
        <v>Pass</v>
      </c>
      <c r="O132" s="3">
        <f>COUNTIF(F132:I132,"&gt;6")</f>
        <v>2</v>
      </c>
      <c r="P132" s="3" t="str">
        <f>_xlfn.IFS((J132&lt;20),"Need Improvement",(J132=20),"Good",(J132&gt;20),"Very Good",(J132&gt;30),"Excellent")</f>
        <v>Very Good</v>
      </c>
      <c r="Q132" s="40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 x14ac:dyDescent="0.3">
      <c r="A133" s="3" t="s">
        <v>350</v>
      </c>
      <c r="B133" s="3" t="s">
        <v>351</v>
      </c>
      <c r="C133" s="3" t="s">
        <v>136</v>
      </c>
      <c r="D133" s="3" t="s">
        <v>129</v>
      </c>
      <c r="E133" s="4">
        <v>44402</v>
      </c>
      <c r="F133" s="5">
        <v>9</v>
      </c>
      <c r="G133" s="5">
        <v>8</v>
      </c>
      <c r="H133" s="5">
        <v>6</v>
      </c>
      <c r="I133" s="5">
        <v>6</v>
      </c>
      <c r="J133" s="6">
        <f>SUM(F133:I133)</f>
        <v>29</v>
      </c>
      <c r="K133" s="3" t="str">
        <f>IF(J133&gt;=25,"Qualified","Disqualified")</f>
        <v>Qualified</v>
      </c>
      <c r="L133" s="3" t="str">
        <f>IF(NOT(J133=0),"Pass","Fail")</f>
        <v>Pass</v>
      </c>
      <c r="M133" s="3" t="str">
        <f t="array" ref="M133">IF(AND(F133:I133&gt;6,J133&gt;=25),"Pass","Fail")</f>
        <v>Fail</v>
      </c>
      <c r="N133" s="3" t="str">
        <f t="array" ref="N133">IF(OR(F133:I133&gt;6,J133&gt;=25),"Pass","Fail")</f>
        <v>Pass</v>
      </c>
      <c r="O133" s="3">
        <f>COUNTIF(F133:I133,"&gt;6")</f>
        <v>2</v>
      </c>
      <c r="P133" s="3" t="str">
        <f>_xlfn.IFS((J133&lt;20),"Need Improvement",(J133=20),"Good",(J133&gt;20),"Very Good",(J133&gt;30),"Excellent")</f>
        <v>Very Good</v>
      </c>
      <c r="Q133" s="40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 x14ac:dyDescent="0.3">
      <c r="A134" s="3" t="s">
        <v>352</v>
      </c>
      <c r="B134" s="3" t="s">
        <v>353</v>
      </c>
      <c r="C134" s="3" t="s">
        <v>69</v>
      </c>
      <c r="D134" s="3" t="s">
        <v>43</v>
      </c>
      <c r="E134" s="4">
        <v>44995</v>
      </c>
      <c r="F134" s="5">
        <v>5</v>
      </c>
      <c r="G134" s="5">
        <v>10</v>
      </c>
      <c r="H134" s="5">
        <v>5</v>
      </c>
      <c r="I134" s="5">
        <v>9</v>
      </c>
      <c r="J134" s="6">
        <f>SUM(F134:I134)</f>
        <v>29</v>
      </c>
      <c r="K134" s="3" t="str">
        <f>IF(J134&gt;=25,"Qualified","Disqualified")</f>
        <v>Qualified</v>
      </c>
      <c r="L134" s="3" t="str">
        <f>IF(NOT(J134=0),"Pass","Fail")</f>
        <v>Pass</v>
      </c>
      <c r="M134" s="3" t="str">
        <f t="array" ref="M134">IF(AND(F134:I134&gt;6,J134&gt;=25),"Pass","Fail")</f>
        <v>Fail</v>
      </c>
      <c r="N134" s="3" t="str">
        <f t="array" ref="N134">IF(OR(F134:I134&gt;6,J134&gt;=25),"Pass","Fail")</f>
        <v>Pass</v>
      </c>
      <c r="O134" s="3">
        <f>COUNTIF(F134:I134,"&gt;6")</f>
        <v>2</v>
      </c>
      <c r="P134" s="3" t="str">
        <f>_xlfn.IFS((J134&lt;20),"Need Improvement",(J134=20),"Good",(J134&gt;20),"Very Good",(J134&gt;30),"Excellent")</f>
        <v>Very Good</v>
      </c>
      <c r="Q134" s="40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 x14ac:dyDescent="0.3">
      <c r="A135" s="3" t="s">
        <v>366</v>
      </c>
      <c r="B135" s="3" t="s">
        <v>367</v>
      </c>
      <c r="C135" s="3" t="s">
        <v>25</v>
      </c>
      <c r="D135" s="3" t="s">
        <v>26</v>
      </c>
      <c r="E135" s="4">
        <v>44866</v>
      </c>
      <c r="F135" s="5">
        <v>6</v>
      </c>
      <c r="G135" s="5">
        <v>8</v>
      </c>
      <c r="H135" s="5">
        <v>5</v>
      </c>
      <c r="I135" s="5">
        <v>10</v>
      </c>
      <c r="J135" s="6">
        <f>SUM(F135:I135)</f>
        <v>29</v>
      </c>
      <c r="K135" s="3" t="str">
        <f>IF(J135&gt;=25,"Qualified","Disqualified")</f>
        <v>Qualified</v>
      </c>
      <c r="L135" s="3" t="str">
        <f>IF(NOT(J135=0),"Pass","Fail")</f>
        <v>Pass</v>
      </c>
      <c r="M135" s="3" t="str">
        <f t="array" ref="M135">IF(AND(F135:I135&gt;6,J135&gt;=25),"Pass","Fail")</f>
        <v>Fail</v>
      </c>
      <c r="N135" s="3" t="str">
        <f t="array" ref="N135">IF(OR(F135:I135&gt;6,J135&gt;=25),"Pass","Fail")</f>
        <v>Pass</v>
      </c>
      <c r="O135" s="3">
        <f>COUNTIF(F135:I135,"&gt;6")</f>
        <v>2</v>
      </c>
      <c r="P135" s="3" t="str">
        <f>_xlfn.IFS((J135&lt;20),"Need Improvement",(J135=20),"Good",(J135&gt;20),"Very Good",(J135&gt;30),"Excellent")</f>
        <v>Very Good</v>
      </c>
      <c r="Q135" s="40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 x14ac:dyDescent="0.3">
      <c r="A136" s="3" t="s">
        <v>370</v>
      </c>
      <c r="B136" s="3" t="s">
        <v>371</v>
      </c>
      <c r="C136" s="3" t="s">
        <v>25</v>
      </c>
      <c r="D136" s="3" t="s">
        <v>31</v>
      </c>
      <c r="E136" s="4">
        <v>44805</v>
      </c>
      <c r="F136" s="5">
        <v>4</v>
      </c>
      <c r="G136" s="5">
        <v>10</v>
      </c>
      <c r="H136" s="5">
        <v>7</v>
      </c>
      <c r="I136" s="5">
        <v>8</v>
      </c>
      <c r="J136" s="6">
        <f>SUM(F136:I136)</f>
        <v>29</v>
      </c>
      <c r="K136" s="3" t="str">
        <f>IF(J136&gt;=25,"Qualified","Disqualified")</f>
        <v>Qualified</v>
      </c>
      <c r="L136" s="3" t="str">
        <f>IF(NOT(J136=0),"Pass","Fail")</f>
        <v>Pass</v>
      </c>
      <c r="M136" s="3" t="str">
        <f t="array" ref="M136">IF(AND(F136:I136&gt;6,J136&gt;=25),"Pass","Fail")</f>
        <v>Fail</v>
      </c>
      <c r="N136" s="3" t="str">
        <f t="array" ref="N136">IF(OR(F136:I136&gt;6,J136&gt;=25),"Pass","Fail")</f>
        <v>Pass</v>
      </c>
      <c r="O136" s="3">
        <f>COUNTIF(F136:I136,"&gt;6")</f>
        <v>3</v>
      </c>
      <c r="P136" s="3" t="str">
        <f>_xlfn.IFS((J136&lt;20),"Need Improvement",(J136=20),"Good",(J136&gt;20),"Very Good",(J136&gt;30),"Excellent")</f>
        <v>Very Good</v>
      </c>
      <c r="Q136" s="40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 x14ac:dyDescent="0.3">
      <c r="A137" s="3" t="s">
        <v>389</v>
      </c>
      <c r="B137" s="3" t="s">
        <v>192</v>
      </c>
      <c r="C137" s="3" t="s">
        <v>69</v>
      </c>
      <c r="D137" s="3" t="s">
        <v>56</v>
      </c>
      <c r="E137" s="4">
        <v>44613</v>
      </c>
      <c r="F137" s="5">
        <v>7</v>
      </c>
      <c r="G137" s="5">
        <v>6</v>
      </c>
      <c r="H137" s="5">
        <v>8</v>
      </c>
      <c r="I137" s="5">
        <v>8</v>
      </c>
      <c r="J137" s="6">
        <f>SUM(F137:I137)</f>
        <v>29</v>
      </c>
      <c r="K137" s="3" t="str">
        <f>IF(J137&gt;=25,"Qualified","Disqualified")</f>
        <v>Qualified</v>
      </c>
      <c r="L137" s="3" t="str">
        <f>IF(NOT(J137=0),"Pass","Fail")</f>
        <v>Pass</v>
      </c>
      <c r="M137" s="3" t="str">
        <f t="array" ref="M137">IF(AND(F137:I137&gt;6,J137&gt;=25),"Pass","Fail")</f>
        <v>Fail</v>
      </c>
      <c r="N137" s="3" t="str">
        <f t="array" ref="N137">IF(OR(F137:I137&gt;6,J137&gt;=25),"Pass","Fail")</f>
        <v>Pass</v>
      </c>
      <c r="O137" s="3">
        <f>COUNTIF(F137:I137,"&gt;6")</f>
        <v>3</v>
      </c>
      <c r="P137" s="3" t="str">
        <f>_xlfn.IFS((J137&lt;20),"Need Improvement",(J137=20),"Good",(J137&gt;20),"Very Good",(J137&gt;30),"Excellent")</f>
        <v>Very Good</v>
      </c>
      <c r="Q137" s="40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 x14ac:dyDescent="0.3">
      <c r="A138" s="3" t="s">
        <v>398</v>
      </c>
      <c r="B138" s="3" t="s">
        <v>210</v>
      </c>
      <c r="C138" s="3" t="s">
        <v>25</v>
      </c>
      <c r="D138" s="3" t="s">
        <v>26</v>
      </c>
      <c r="E138" s="4">
        <v>44957</v>
      </c>
      <c r="F138" s="5">
        <v>5</v>
      </c>
      <c r="G138" s="5">
        <v>9</v>
      </c>
      <c r="H138" s="5">
        <v>5</v>
      </c>
      <c r="I138" s="5">
        <v>10</v>
      </c>
      <c r="J138" s="6">
        <f>SUM(F138:I138)</f>
        <v>29</v>
      </c>
      <c r="K138" s="3" t="str">
        <f>IF(J138&gt;=25,"Qualified","Disqualified")</f>
        <v>Qualified</v>
      </c>
      <c r="L138" s="3" t="str">
        <f>IF(NOT(J138=0),"Pass","Fail")</f>
        <v>Pass</v>
      </c>
      <c r="M138" s="3" t="str">
        <f t="array" ref="M138">IF(AND(F138:I138&gt;6,J138&gt;=25),"Pass","Fail")</f>
        <v>Fail</v>
      </c>
      <c r="N138" s="3" t="str">
        <f t="array" ref="N138">IF(OR(F138:I138&gt;6,J138&gt;=25),"Pass","Fail")</f>
        <v>Pass</v>
      </c>
      <c r="O138" s="3">
        <f>COUNTIF(F138:I138,"&gt;6")</f>
        <v>2</v>
      </c>
      <c r="P138" s="3" t="str">
        <f>_xlfn.IFS((J138&lt;20),"Need Improvement",(J138=20),"Good",(J138&gt;20),"Very Good",(J138&gt;30),"Excellent")</f>
        <v>Very Good</v>
      </c>
      <c r="Q138" s="40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 x14ac:dyDescent="0.3">
      <c r="A139" s="3" t="s">
        <v>399</v>
      </c>
      <c r="B139" s="3" t="s">
        <v>212</v>
      </c>
      <c r="C139" s="3" t="s">
        <v>25</v>
      </c>
      <c r="D139" s="3" t="s">
        <v>56</v>
      </c>
      <c r="E139" s="4">
        <v>44732</v>
      </c>
      <c r="F139" s="5">
        <v>8</v>
      </c>
      <c r="G139" s="5">
        <v>4</v>
      </c>
      <c r="H139" s="5">
        <v>10</v>
      </c>
      <c r="I139" s="5">
        <v>7</v>
      </c>
      <c r="J139" s="6">
        <f>SUM(F139:I139)</f>
        <v>29</v>
      </c>
      <c r="K139" s="3" t="str">
        <f>IF(J139&gt;=25,"Qualified","Disqualified")</f>
        <v>Qualified</v>
      </c>
      <c r="L139" s="3" t="str">
        <f>IF(NOT(J139=0),"Pass","Fail")</f>
        <v>Pass</v>
      </c>
      <c r="M139" s="3" t="str">
        <f t="array" ref="M139">IF(AND(F139:I139&gt;6,J139&gt;=25),"Pass","Fail")</f>
        <v>Fail</v>
      </c>
      <c r="N139" s="3" t="str">
        <f t="array" ref="N139">IF(OR(F139:I139&gt;6,J139&gt;=25),"Pass","Fail")</f>
        <v>Pass</v>
      </c>
      <c r="O139" s="3">
        <f>COUNTIF(F139:I139,"&gt;6")</f>
        <v>3</v>
      </c>
      <c r="P139" s="3" t="str">
        <f>_xlfn.IFS((J139&lt;20),"Need Improvement",(J139=20),"Good",(J139&gt;20),"Very Good",(J139&gt;30),"Excellent")</f>
        <v>Very Good</v>
      </c>
      <c r="Q139" s="40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 x14ac:dyDescent="0.3">
      <c r="A140" s="3" t="s">
        <v>411</v>
      </c>
      <c r="B140" s="3" t="s">
        <v>236</v>
      </c>
      <c r="C140" s="3" t="s">
        <v>69</v>
      </c>
      <c r="D140" s="3" t="s">
        <v>96</v>
      </c>
      <c r="E140" s="4">
        <v>44723</v>
      </c>
      <c r="F140" s="5">
        <v>4</v>
      </c>
      <c r="G140" s="5">
        <v>10</v>
      </c>
      <c r="H140" s="5">
        <v>10</v>
      </c>
      <c r="I140" s="5">
        <v>5</v>
      </c>
      <c r="J140" s="6">
        <f>SUM(F140:I140)</f>
        <v>29</v>
      </c>
      <c r="K140" s="3" t="str">
        <f>IF(J140&gt;=25,"Qualified","Disqualified")</f>
        <v>Qualified</v>
      </c>
      <c r="L140" s="3" t="str">
        <f>IF(NOT(J140=0),"Pass","Fail")</f>
        <v>Pass</v>
      </c>
      <c r="M140" s="3" t="str">
        <f t="array" ref="M140">IF(AND(F140:I140&gt;6,J140&gt;=25),"Pass","Fail")</f>
        <v>Fail</v>
      </c>
      <c r="N140" s="3" t="str">
        <f t="array" ref="N140">IF(OR(F140:I140&gt;6,J140&gt;=25),"Pass","Fail")</f>
        <v>Pass</v>
      </c>
      <c r="O140" s="3">
        <f>COUNTIF(F140:I140,"&gt;6")</f>
        <v>2</v>
      </c>
      <c r="P140" s="3" t="str">
        <f>_xlfn.IFS((J140&lt;20),"Need Improvement",(J140=20),"Good",(J140&gt;20),"Very Good",(J140&gt;30),"Excellent")</f>
        <v>Very Good</v>
      </c>
      <c r="Q140" s="40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 x14ac:dyDescent="0.3">
      <c r="A141" s="3" t="s">
        <v>23</v>
      </c>
      <c r="B141" s="3" t="s">
        <v>24</v>
      </c>
      <c r="C141" s="3" t="s">
        <v>25</v>
      </c>
      <c r="D141" s="3" t="s">
        <v>26</v>
      </c>
      <c r="E141" s="4">
        <v>44733</v>
      </c>
      <c r="F141" s="5">
        <v>7</v>
      </c>
      <c r="G141" s="5">
        <v>4</v>
      </c>
      <c r="H141" s="5">
        <v>9</v>
      </c>
      <c r="I141" s="5">
        <v>10</v>
      </c>
      <c r="J141" s="6">
        <f>SUM(F141:I141)</f>
        <v>30</v>
      </c>
      <c r="K141" s="3" t="str">
        <f>IF(J141&gt;=25,"Qualified","Disqualified")</f>
        <v>Qualified</v>
      </c>
      <c r="L141" s="3" t="str">
        <f>IF(NOT(J141=0),"Pass","Fail")</f>
        <v>Pass</v>
      </c>
      <c r="M141" s="3" t="str">
        <f t="array" ref="M141">IF(AND(F141:I141&gt;6,J141&gt;=25),"Pass","Fail")</f>
        <v>Fail</v>
      </c>
      <c r="N141" s="3" t="str">
        <f t="array" ref="N141">IF(OR(F141:I141&gt;6,J141&gt;=25),"Pass","Fail")</f>
        <v>Pass</v>
      </c>
      <c r="O141" s="3">
        <f>COUNTIF(F141:I141,"&gt;6")</f>
        <v>3</v>
      </c>
      <c r="P141" s="3" t="str">
        <f>_xlfn.IFS((J141&lt;20),"Need Improvement",(J141=20),"Good",(J141&gt;20),"Very Good",(J141&gt;30),"Excellent")</f>
        <v>Very Good</v>
      </c>
      <c r="Q141" s="40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 x14ac:dyDescent="0.3">
      <c r="A142" s="3" t="s">
        <v>55</v>
      </c>
      <c r="B142" s="3" t="s">
        <v>24</v>
      </c>
      <c r="C142" s="3" t="s">
        <v>25</v>
      </c>
      <c r="D142" s="3" t="s">
        <v>56</v>
      </c>
      <c r="E142" s="4">
        <v>44697</v>
      </c>
      <c r="F142" s="5">
        <v>10</v>
      </c>
      <c r="G142" s="5">
        <v>5</v>
      </c>
      <c r="H142" s="5">
        <v>10</v>
      </c>
      <c r="I142" s="5">
        <v>5</v>
      </c>
      <c r="J142" s="6">
        <f>SUM(F142:I142)</f>
        <v>30</v>
      </c>
      <c r="K142" s="3" t="str">
        <f>IF(J142&gt;=25,"Qualified","Disqualified")</f>
        <v>Qualified</v>
      </c>
      <c r="L142" s="3" t="str">
        <f>IF(NOT(J142=0),"Pass","Fail")</f>
        <v>Pass</v>
      </c>
      <c r="M142" s="3" t="str">
        <f t="array" ref="M142">IF(AND(F142:I142&gt;6,J142&gt;=25),"Pass","Fail")</f>
        <v>Fail</v>
      </c>
      <c r="N142" s="3" t="str">
        <f t="array" ref="N142">IF(OR(F142:I142&gt;6,J142&gt;=25),"Pass","Fail")</f>
        <v>Pass</v>
      </c>
      <c r="O142" s="3">
        <f>COUNTIF(F142:I142,"&gt;6")</f>
        <v>2</v>
      </c>
      <c r="P142" s="3" t="str">
        <f>_xlfn.IFS((J142&lt;20),"Need Improvement",(J142=20),"Good",(J142&gt;20),"Very Good",(J142&gt;30),"Excellent")</f>
        <v>Very Good</v>
      </c>
      <c r="Q142" s="40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 x14ac:dyDescent="0.3">
      <c r="A143" s="3" t="s">
        <v>97</v>
      </c>
      <c r="B143" s="3" t="s">
        <v>98</v>
      </c>
      <c r="C143" s="3" t="s">
        <v>90</v>
      </c>
      <c r="D143" s="3" t="s">
        <v>26</v>
      </c>
      <c r="E143" s="4">
        <v>44397</v>
      </c>
      <c r="F143" s="5">
        <v>8</v>
      </c>
      <c r="G143" s="5">
        <v>8</v>
      </c>
      <c r="H143" s="5">
        <v>9</v>
      </c>
      <c r="I143" s="5">
        <v>5</v>
      </c>
      <c r="J143" s="6">
        <f>SUM(F143:I143)</f>
        <v>30</v>
      </c>
      <c r="K143" s="3" t="str">
        <f>IF(J143&gt;=25,"Qualified","Disqualified")</f>
        <v>Qualified</v>
      </c>
      <c r="L143" s="3" t="str">
        <f>IF(NOT(J143=0),"Pass","Fail")</f>
        <v>Pass</v>
      </c>
      <c r="M143" s="3" t="str">
        <f t="array" ref="M143">IF(AND(F143:I143&gt;6,J143&gt;=25),"Pass","Fail")</f>
        <v>Fail</v>
      </c>
      <c r="N143" s="3" t="str">
        <f t="array" ref="N143">IF(OR(F143:I143&gt;6,J143&gt;=25),"Pass","Fail")</f>
        <v>Pass</v>
      </c>
      <c r="O143" s="3">
        <f>COUNTIF(F143:I143,"&gt;6")</f>
        <v>3</v>
      </c>
      <c r="P143" s="3" t="str">
        <f>_xlfn.IFS((J143&lt;20),"Need Improvement",(J143=20),"Good",(J143&gt;20),"Very Good",(J143&gt;30),"Excellent")</f>
        <v>Very Good</v>
      </c>
      <c r="Q143" s="40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 x14ac:dyDescent="0.3">
      <c r="A144" s="3" t="s">
        <v>215</v>
      </c>
      <c r="B144" s="3" t="s">
        <v>216</v>
      </c>
      <c r="C144" s="3" t="s">
        <v>25</v>
      </c>
      <c r="D144" s="3" t="s">
        <v>129</v>
      </c>
      <c r="E144" s="4">
        <v>44661</v>
      </c>
      <c r="F144" s="5">
        <v>4</v>
      </c>
      <c r="G144" s="5">
        <v>8</v>
      </c>
      <c r="H144" s="5">
        <v>10</v>
      </c>
      <c r="I144" s="5">
        <v>8</v>
      </c>
      <c r="J144" s="6">
        <f>SUM(F144:I144)</f>
        <v>30</v>
      </c>
      <c r="K144" s="3" t="str">
        <f>IF(J144&gt;=25,"Qualified","Disqualified")</f>
        <v>Qualified</v>
      </c>
      <c r="L144" s="3" t="str">
        <f>IF(NOT(J144=0),"Pass","Fail")</f>
        <v>Pass</v>
      </c>
      <c r="M144" s="3" t="str">
        <f t="array" ref="M144">IF(AND(F144:I144&gt;6,J144&gt;=25),"Pass","Fail")</f>
        <v>Fail</v>
      </c>
      <c r="N144" s="3" t="str">
        <f t="array" ref="N144">IF(OR(F144:I144&gt;6,J144&gt;=25),"Pass","Fail")</f>
        <v>Pass</v>
      </c>
      <c r="O144" s="3">
        <f>COUNTIF(F144:I144,"&gt;6")</f>
        <v>3</v>
      </c>
      <c r="P144" s="3" t="str">
        <f>_xlfn.IFS((J144&lt;20),"Need Improvement",(J144=20),"Good",(J144&gt;20),"Very Good",(J144&gt;30),"Excellent")</f>
        <v>Very Good</v>
      </c>
      <c r="Q144" s="40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 x14ac:dyDescent="0.3">
      <c r="A145" s="3" t="s">
        <v>308</v>
      </c>
      <c r="B145" s="3" t="s">
        <v>309</v>
      </c>
      <c r="C145" s="3" t="s">
        <v>136</v>
      </c>
      <c r="D145" s="3" t="s">
        <v>26</v>
      </c>
      <c r="E145" s="4">
        <v>44698</v>
      </c>
      <c r="F145" s="5">
        <v>8</v>
      </c>
      <c r="G145" s="5">
        <v>4</v>
      </c>
      <c r="H145" s="5">
        <v>8</v>
      </c>
      <c r="I145" s="5">
        <v>10</v>
      </c>
      <c r="J145" s="6">
        <f>SUM(F145:I145)</f>
        <v>30</v>
      </c>
      <c r="K145" s="3" t="str">
        <f>IF(J145&gt;=25,"Qualified","Disqualified")</f>
        <v>Qualified</v>
      </c>
      <c r="L145" s="3" t="str">
        <f>IF(NOT(J145=0),"Pass","Fail")</f>
        <v>Pass</v>
      </c>
      <c r="M145" s="3" t="str">
        <f t="array" ref="M145">IF(AND(F145:I145&gt;6,J145&gt;=25),"Pass","Fail")</f>
        <v>Fail</v>
      </c>
      <c r="N145" s="3" t="str">
        <f t="array" ref="N145">IF(OR(F145:I145&gt;6,J145&gt;=25),"Pass","Fail")</f>
        <v>Pass</v>
      </c>
      <c r="O145" s="3">
        <f>COUNTIF(F145:I145,"&gt;6")</f>
        <v>3</v>
      </c>
      <c r="P145" s="3" t="str">
        <f>_xlfn.IFS((J145&lt;20),"Need Improvement",(J145=20),"Good",(J145&gt;20),"Very Good",(J145&gt;30),"Excellent")</f>
        <v>Very Good</v>
      </c>
      <c r="Q145" s="40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 x14ac:dyDescent="0.3">
      <c r="A146" s="3" t="s">
        <v>318</v>
      </c>
      <c r="B146" s="3" t="s">
        <v>319</v>
      </c>
      <c r="C146" s="3" t="s">
        <v>60</v>
      </c>
      <c r="D146" s="3" t="s">
        <v>50</v>
      </c>
      <c r="E146" s="4">
        <v>44790</v>
      </c>
      <c r="F146" s="5">
        <v>9</v>
      </c>
      <c r="G146" s="5">
        <v>5</v>
      </c>
      <c r="H146" s="5">
        <v>6</v>
      </c>
      <c r="I146" s="5">
        <v>10</v>
      </c>
      <c r="J146" s="6">
        <f>SUM(F146:I146)</f>
        <v>30</v>
      </c>
      <c r="K146" s="3" t="str">
        <f>IF(J146&gt;=25,"Qualified","Disqualified")</f>
        <v>Qualified</v>
      </c>
      <c r="L146" s="3" t="str">
        <f>IF(NOT(J146=0),"Pass","Fail")</f>
        <v>Pass</v>
      </c>
      <c r="M146" s="3" t="str">
        <f t="array" ref="M146">IF(AND(F146:I146&gt;6,J146&gt;=25),"Pass","Fail")</f>
        <v>Fail</v>
      </c>
      <c r="N146" s="3" t="str">
        <f t="array" ref="N146">IF(OR(F146:I146&gt;6,J146&gt;=25),"Pass","Fail")</f>
        <v>Pass</v>
      </c>
      <c r="O146" s="3">
        <f>COUNTIF(F146:I146,"&gt;6")</f>
        <v>2</v>
      </c>
      <c r="P146" s="3" t="str">
        <f>_xlfn.IFS((J146&lt;20),"Need Improvement",(J146=20),"Good",(J146&gt;20),"Very Good",(J146&gt;30),"Excellent")</f>
        <v>Very Good</v>
      </c>
      <c r="Q146" s="40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 x14ac:dyDescent="0.3">
      <c r="A147" s="3" t="s">
        <v>328</v>
      </c>
      <c r="B147" s="3" t="s">
        <v>329</v>
      </c>
      <c r="C147" s="3" t="s">
        <v>25</v>
      </c>
      <c r="D147" s="3" t="s">
        <v>43</v>
      </c>
      <c r="E147" s="4">
        <v>44638</v>
      </c>
      <c r="F147" s="5">
        <v>10</v>
      </c>
      <c r="G147" s="5">
        <v>8</v>
      </c>
      <c r="H147" s="5">
        <v>6</v>
      </c>
      <c r="I147" s="5">
        <v>6</v>
      </c>
      <c r="J147" s="6">
        <f>SUM(F147:I147)</f>
        <v>30</v>
      </c>
      <c r="K147" s="3" t="str">
        <f>IF(J147&gt;=25,"Qualified","Disqualified")</f>
        <v>Qualified</v>
      </c>
      <c r="L147" s="3" t="str">
        <f>IF(NOT(J147=0),"Pass","Fail")</f>
        <v>Pass</v>
      </c>
      <c r="M147" s="3" t="str">
        <f t="array" ref="M147">IF(AND(F147:I147&gt;6,J147&gt;=25),"Pass","Fail")</f>
        <v>Fail</v>
      </c>
      <c r="N147" s="3" t="str">
        <f t="array" ref="N147">IF(OR(F147:I147&gt;6,J147&gt;=25),"Pass","Fail")</f>
        <v>Pass</v>
      </c>
      <c r="O147" s="3">
        <f>COUNTIF(F147:I147,"&gt;6")</f>
        <v>2</v>
      </c>
      <c r="P147" s="3" t="str">
        <f>_xlfn.IFS((J147&lt;20),"Need Improvement",(J147=20),"Good",(J147&gt;20),"Very Good",(J147&gt;30),"Excellent")</f>
        <v>Very Good</v>
      </c>
      <c r="Q147" s="40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 x14ac:dyDescent="0.3">
      <c r="A148" s="3" t="s">
        <v>332</v>
      </c>
      <c r="B148" s="3" t="s">
        <v>333</v>
      </c>
      <c r="C148" s="3" t="s">
        <v>25</v>
      </c>
      <c r="D148" s="3" t="s">
        <v>50</v>
      </c>
      <c r="E148" s="4">
        <v>44629</v>
      </c>
      <c r="F148" s="5">
        <v>8</v>
      </c>
      <c r="G148" s="5">
        <v>8</v>
      </c>
      <c r="H148" s="5">
        <v>10</v>
      </c>
      <c r="I148" s="5">
        <v>4</v>
      </c>
      <c r="J148" s="6">
        <f>SUM(F148:I148)</f>
        <v>30</v>
      </c>
      <c r="K148" s="3" t="str">
        <f>IF(J148&gt;=25,"Qualified","Disqualified")</f>
        <v>Qualified</v>
      </c>
      <c r="L148" s="3" t="str">
        <f>IF(NOT(J148=0),"Pass","Fail")</f>
        <v>Pass</v>
      </c>
      <c r="M148" s="3" t="str">
        <f t="array" ref="M148">IF(AND(F148:I148&gt;6,J148&gt;=25),"Pass","Fail")</f>
        <v>Fail</v>
      </c>
      <c r="N148" s="3" t="str">
        <f t="array" ref="N148">IF(OR(F148:I148&gt;6,J148&gt;=25),"Pass","Fail")</f>
        <v>Pass</v>
      </c>
      <c r="O148" s="3">
        <f>COUNTIF(F148:I148,"&gt;6")</f>
        <v>3</v>
      </c>
      <c r="P148" s="3" t="str">
        <f>_xlfn.IFS((J148&lt;20),"Need Improvement",(J148=20),"Good",(J148&gt;20),"Very Good",(J148&gt;30),"Excellent")</f>
        <v>Very Good</v>
      </c>
      <c r="Q148" s="40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 x14ac:dyDescent="0.3">
      <c r="A149" s="3" t="s">
        <v>382</v>
      </c>
      <c r="B149" s="3" t="s">
        <v>178</v>
      </c>
      <c r="C149" s="3" t="s">
        <v>25</v>
      </c>
      <c r="D149" s="3" t="s">
        <v>50</v>
      </c>
      <c r="E149" s="4">
        <v>44769</v>
      </c>
      <c r="F149" s="5">
        <v>6</v>
      </c>
      <c r="G149" s="5">
        <v>7</v>
      </c>
      <c r="H149" s="5">
        <v>7</v>
      </c>
      <c r="I149" s="5">
        <v>10</v>
      </c>
      <c r="J149" s="6">
        <f>SUM(F149:I149)</f>
        <v>30</v>
      </c>
      <c r="K149" s="3" t="str">
        <f>IF(J149&gt;=25,"Qualified","Disqualified")</f>
        <v>Qualified</v>
      </c>
      <c r="L149" s="3" t="str">
        <f>IF(NOT(J149=0),"Pass","Fail")</f>
        <v>Pass</v>
      </c>
      <c r="M149" s="3" t="str">
        <f t="array" ref="M149">IF(AND(F149:I149&gt;6,J149&gt;=25),"Pass","Fail")</f>
        <v>Fail</v>
      </c>
      <c r="N149" s="3" t="str">
        <f t="array" ref="N149">IF(OR(F149:I149&gt;6,J149&gt;=25),"Pass","Fail")</f>
        <v>Pass</v>
      </c>
      <c r="O149" s="3">
        <f>COUNTIF(F149:I149,"&gt;6")</f>
        <v>3</v>
      </c>
      <c r="P149" s="3" t="str">
        <f>_xlfn.IFS((J149&lt;20),"Need Improvement",(J149=20),"Good",(J149&gt;20),"Very Good",(J149&gt;30),"Excellent")</f>
        <v>Very Good</v>
      </c>
      <c r="Q149" s="40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 x14ac:dyDescent="0.3">
      <c r="A150" s="3" t="s">
        <v>383</v>
      </c>
      <c r="B150" s="3" t="s">
        <v>180</v>
      </c>
      <c r="C150" s="3" t="s">
        <v>60</v>
      </c>
      <c r="D150" s="3" t="s">
        <v>43</v>
      </c>
      <c r="E150" s="4">
        <v>44386</v>
      </c>
      <c r="F150" s="5">
        <v>5</v>
      </c>
      <c r="G150" s="5">
        <v>10</v>
      </c>
      <c r="H150" s="5">
        <v>5</v>
      </c>
      <c r="I150" s="5">
        <v>10</v>
      </c>
      <c r="J150" s="6">
        <f>SUM(F150:I150)</f>
        <v>30</v>
      </c>
      <c r="K150" s="3" t="str">
        <f>IF(J150&gt;=25,"Qualified","Disqualified")</f>
        <v>Qualified</v>
      </c>
      <c r="L150" s="3" t="str">
        <f>IF(NOT(J150=0),"Pass","Fail")</f>
        <v>Pass</v>
      </c>
      <c r="M150" s="3" t="str">
        <f t="array" ref="M150">IF(AND(F150:I150&gt;6,J150&gt;=25),"Pass","Fail")</f>
        <v>Fail</v>
      </c>
      <c r="N150" s="3" t="str">
        <f t="array" ref="N150">IF(OR(F150:I150&gt;6,J150&gt;=25),"Pass","Fail")</f>
        <v>Pass</v>
      </c>
      <c r="O150" s="3">
        <f>COUNTIF(F150:I150,"&gt;6")</f>
        <v>2</v>
      </c>
      <c r="P150" s="3" t="str">
        <f>_xlfn.IFS((J150&lt;20),"Need Improvement",(J150=20),"Good",(J150&gt;20),"Very Good",(J150&gt;30),"Excellent")</f>
        <v>Very Good</v>
      </c>
      <c r="Q150" s="40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 x14ac:dyDescent="0.3">
      <c r="A151" s="3" t="s">
        <v>395</v>
      </c>
      <c r="B151" s="3" t="s">
        <v>204</v>
      </c>
      <c r="C151" s="3" t="s">
        <v>25</v>
      </c>
      <c r="D151" s="3" t="s">
        <v>56</v>
      </c>
      <c r="E151" s="4">
        <v>44445</v>
      </c>
      <c r="F151" s="5">
        <v>9</v>
      </c>
      <c r="G151" s="5">
        <v>6</v>
      </c>
      <c r="H151" s="5">
        <v>8</v>
      </c>
      <c r="I151" s="5">
        <v>7</v>
      </c>
      <c r="J151" s="6">
        <f>SUM(F151:I151)</f>
        <v>30</v>
      </c>
      <c r="K151" s="3" t="str">
        <f>IF(J151&gt;=25,"Qualified","Disqualified")</f>
        <v>Qualified</v>
      </c>
      <c r="L151" s="3" t="str">
        <f>IF(NOT(J151=0),"Pass","Fail")</f>
        <v>Pass</v>
      </c>
      <c r="M151" s="3" t="str">
        <f t="array" ref="M151">IF(AND(F151:I151&gt;6,J151&gt;=25),"Pass","Fail")</f>
        <v>Fail</v>
      </c>
      <c r="N151" s="3" t="str">
        <f t="array" ref="N151">IF(OR(F151:I151&gt;6,J151&gt;=25),"Pass","Fail")</f>
        <v>Pass</v>
      </c>
      <c r="O151" s="3">
        <f>COUNTIF(F151:I151,"&gt;6")</f>
        <v>3</v>
      </c>
      <c r="P151" s="3" t="str">
        <f>_xlfn.IFS((J151&lt;20),"Need Improvement",(J151=20),"Good",(J151&gt;20),"Very Good",(J151&gt;30),"Excellent")</f>
        <v>Very Good</v>
      </c>
      <c r="Q151" s="40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 x14ac:dyDescent="0.3">
      <c r="A152" s="3" t="s">
        <v>420</v>
      </c>
      <c r="B152" s="3" t="s">
        <v>254</v>
      </c>
      <c r="C152" s="3" t="s">
        <v>25</v>
      </c>
      <c r="D152" s="3" t="s">
        <v>129</v>
      </c>
      <c r="E152" s="4">
        <v>44675</v>
      </c>
      <c r="F152" s="5">
        <v>8</v>
      </c>
      <c r="G152" s="5">
        <v>7</v>
      </c>
      <c r="H152" s="5">
        <v>10</v>
      </c>
      <c r="I152" s="5">
        <v>5</v>
      </c>
      <c r="J152" s="6">
        <f>SUM(F152:I152)</f>
        <v>30</v>
      </c>
      <c r="K152" s="3" t="str">
        <f>IF(J152&gt;=25,"Qualified","Disqualified")</f>
        <v>Qualified</v>
      </c>
      <c r="L152" s="3" t="str">
        <f>IF(NOT(J152=0),"Pass","Fail")</f>
        <v>Pass</v>
      </c>
      <c r="M152" s="3" t="str">
        <f t="array" ref="M152">IF(AND(F152:I152&gt;6,J152&gt;=25),"Pass","Fail")</f>
        <v>Fail</v>
      </c>
      <c r="N152" s="3" t="str">
        <f t="array" ref="N152">IF(OR(F152:I152&gt;6,J152&gt;=25),"Pass","Fail")</f>
        <v>Pass</v>
      </c>
      <c r="O152" s="3">
        <f>COUNTIF(F152:I152,"&gt;6")</f>
        <v>3</v>
      </c>
      <c r="P152" s="3" t="str">
        <f>_xlfn.IFS((J152&lt;20),"Need Improvement",(J152=20),"Good",(J152&gt;20),"Very Good",(J152&gt;30),"Excellent")</f>
        <v>Very Good</v>
      </c>
      <c r="Q152" s="40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 x14ac:dyDescent="0.3">
      <c r="A153" s="3" t="s">
        <v>421</v>
      </c>
      <c r="B153" s="3" t="s">
        <v>256</v>
      </c>
      <c r="C153" s="3" t="s">
        <v>25</v>
      </c>
      <c r="D153" s="3" t="s">
        <v>43</v>
      </c>
      <c r="E153" s="4">
        <v>44568</v>
      </c>
      <c r="F153" s="5">
        <v>8</v>
      </c>
      <c r="G153" s="5">
        <v>10</v>
      </c>
      <c r="H153" s="5">
        <v>6</v>
      </c>
      <c r="I153" s="5">
        <v>6</v>
      </c>
      <c r="J153" s="6">
        <f>SUM(F153:I153)</f>
        <v>30</v>
      </c>
      <c r="K153" s="3" t="str">
        <f>IF(J153&gt;=25,"Qualified","Disqualified")</f>
        <v>Qualified</v>
      </c>
      <c r="L153" s="3" t="str">
        <f>IF(NOT(J153=0),"Pass","Fail")</f>
        <v>Pass</v>
      </c>
      <c r="M153" s="3" t="str">
        <f t="array" ref="M153">IF(AND(F153:I153&gt;6,J153&gt;=25),"Pass","Fail")</f>
        <v>Fail</v>
      </c>
      <c r="N153" s="3" t="str">
        <f t="array" ref="N153">IF(OR(F153:I153&gt;6,J153&gt;=25),"Pass","Fail")</f>
        <v>Pass</v>
      </c>
      <c r="O153" s="3">
        <f>COUNTIF(F153:I153,"&gt;6")</f>
        <v>2</v>
      </c>
      <c r="P153" s="3" t="str">
        <f>_xlfn.IFS((J153&lt;20),"Need Improvement",(J153=20),"Good",(J153&gt;20),"Very Good",(J153&gt;30),"Excellent")</f>
        <v>Very Good</v>
      </c>
      <c r="Q153" s="40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 x14ac:dyDescent="0.3">
      <c r="A154" s="3" t="s">
        <v>424</v>
      </c>
      <c r="B154" s="3" t="s">
        <v>262</v>
      </c>
      <c r="C154" s="3" t="s">
        <v>25</v>
      </c>
      <c r="D154" s="3" t="s">
        <v>43</v>
      </c>
      <c r="E154" s="4">
        <v>44365</v>
      </c>
      <c r="F154" s="5">
        <v>5</v>
      </c>
      <c r="G154" s="5">
        <v>9</v>
      </c>
      <c r="H154" s="5">
        <v>10</v>
      </c>
      <c r="I154" s="5">
        <v>6</v>
      </c>
      <c r="J154" s="6">
        <f>SUM(F154:I154)</f>
        <v>30</v>
      </c>
      <c r="K154" s="3" t="str">
        <f>IF(J154&gt;=25,"Qualified","Disqualified")</f>
        <v>Qualified</v>
      </c>
      <c r="L154" s="3" t="str">
        <f>IF(NOT(J154=0),"Pass","Fail")</f>
        <v>Pass</v>
      </c>
      <c r="M154" s="3" t="str">
        <f t="array" ref="M154">IF(AND(F154:I154&gt;6,J154&gt;=25),"Pass","Fail")</f>
        <v>Fail</v>
      </c>
      <c r="N154" s="3" t="str">
        <f t="array" ref="N154">IF(OR(F154:I154&gt;6,J154&gt;=25),"Pass","Fail")</f>
        <v>Pass</v>
      </c>
      <c r="O154" s="3">
        <f>COUNTIF(F154:I154,"&gt;6")</f>
        <v>2</v>
      </c>
      <c r="P154" s="3" t="str">
        <f>_xlfn.IFS((J154&lt;20),"Need Improvement",(J154=20),"Good",(J154&gt;20),"Very Good",(J154&gt;30),"Excellent")</f>
        <v>Very Good</v>
      </c>
      <c r="Q154" s="40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 x14ac:dyDescent="0.3">
      <c r="A155" s="3" t="s">
        <v>425</v>
      </c>
      <c r="B155" s="3" t="s">
        <v>264</v>
      </c>
      <c r="C155" s="3" t="s">
        <v>60</v>
      </c>
      <c r="D155" s="3" t="s">
        <v>43</v>
      </c>
      <c r="E155" s="4">
        <v>44449</v>
      </c>
      <c r="F155" s="5">
        <v>8</v>
      </c>
      <c r="G155" s="5">
        <v>7</v>
      </c>
      <c r="H155" s="5">
        <v>5</v>
      </c>
      <c r="I155" s="5">
        <v>10</v>
      </c>
      <c r="J155" s="6">
        <f>SUM(F155:I155)</f>
        <v>30</v>
      </c>
      <c r="K155" s="3" t="str">
        <f>IF(J155&gt;=25,"Qualified","Disqualified")</f>
        <v>Qualified</v>
      </c>
      <c r="L155" s="3" t="str">
        <f>IF(NOT(J155=0),"Pass","Fail")</f>
        <v>Pass</v>
      </c>
      <c r="M155" s="3" t="str">
        <f t="array" ref="M155">IF(AND(F155:I155&gt;6,J155&gt;=25),"Pass","Fail")</f>
        <v>Fail</v>
      </c>
      <c r="N155" s="3" t="str">
        <f t="array" ref="N155">IF(OR(F155:I155&gt;6,J155&gt;=25),"Pass","Fail")</f>
        <v>Pass</v>
      </c>
      <c r="O155" s="3">
        <f>COUNTIF(F155:I155,"&gt;6")</f>
        <v>3</v>
      </c>
      <c r="P155" s="3" t="str">
        <f>_xlfn.IFS((J155&lt;20),"Need Improvement",(J155=20),"Good",(J155&gt;20),"Very Good",(J155&gt;30),"Excellent")</f>
        <v>Very Good</v>
      </c>
      <c r="Q155" s="40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 x14ac:dyDescent="0.3">
      <c r="A156" s="3" t="s">
        <v>52</v>
      </c>
      <c r="B156" s="3" t="s">
        <v>53</v>
      </c>
      <c r="C156" s="3" t="s">
        <v>25</v>
      </c>
      <c r="D156" s="3" t="s">
        <v>50</v>
      </c>
      <c r="E156" s="4">
        <v>44370</v>
      </c>
      <c r="F156" s="5">
        <v>10</v>
      </c>
      <c r="G156" s="5">
        <v>5</v>
      </c>
      <c r="H156" s="5">
        <v>6</v>
      </c>
      <c r="I156" s="5">
        <v>10</v>
      </c>
      <c r="J156" s="6">
        <f>SUM(F156:I156)</f>
        <v>31</v>
      </c>
      <c r="K156" s="3" t="str">
        <f>IF(J156&gt;=25,"Qualified","Disqualified")</f>
        <v>Qualified</v>
      </c>
      <c r="L156" s="3" t="str">
        <f>IF(NOT(J156=0),"Pass","Fail")</f>
        <v>Pass</v>
      </c>
      <c r="M156" s="3" t="str">
        <f t="array" ref="M156">IF(AND(F156:I156&gt;6,J156&gt;=25),"Pass","Fail")</f>
        <v>Fail</v>
      </c>
      <c r="N156" s="3" t="str">
        <f t="array" ref="N156">IF(OR(F156:I156&gt;6,J156&gt;=25),"Pass","Fail")</f>
        <v>Pass</v>
      </c>
      <c r="O156" s="3">
        <f>COUNTIF(F156:I156,"&gt;6")</f>
        <v>2</v>
      </c>
      <c r="P156" s="3" t="str">
        <f>_xlfn.IFS((J156&lt;20),"Need Improvement",(J156=20),"Good",(J156&gt;20),"Very Good",(J156&gt;30),"Excellent")</f>
        <v>Very Good</v>
      </c>
      <c r="Q156" s="40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 x14ac:dyDescent="0.3">
      <c r="A157" s="3" t="s">
        <v>80</v>
      </c>
      <c r="B157" s="3" t="s">
        <v>81</v>
      </c>
      <c r="C157" s="3" t="s">
        <v>34</v>
      </c>
      <c r="D157" s="3" t="s">
        <v>31</v>
      </c>
      <c r="E157" s="4">
        <v>44441</v>
      </c>
      <c r="F157" s="5">
        <v>6</v>
      </c>
      <c r="G157" s="5">
        <v>9</v>
      </c>
      <c r="H157" s="5">
        <v>6</v>
      </c>
      <c r="I157" s="5">
        <v>10</v>
      </c>
      <c r="J157" s="6">
        <f>SUM(F157:I157)</f>
        <v>31</v>
      </c>
      <c r="K157" s="3" t="str">
        <f>IF(J157&gt;=25,"Qualified","Disqualified")</f>
        <v>Qualified</v>
      </c>
      <c r="L157" s="3" t="str">
        <f>IF(NOT(J157=0),"Pass","Fail")</f>
        <v>Pass</v>
      </c>
      <c r="M157" s="3" t="str">
        <f t="array" ref="M157">IF(AND(F157:I157&gt;6,J157&gt;=25),"Pass","Fail")</f>
        <v>Fail</v>
      </c>
      <c r="N157" s="3" t="str">
        <f t="array" ref="N157">IF(OR(F157:I157&gt;6,J157&gt;=25),"Pass","Fail")</f>
        <v>Pass</v>
      </c>
      <c r="O157" s="3">
        <f>COUNTIF(F157:I157,"&gt;6")</f>
        <v>2</v>
      </c>
      <c r="P157" s="3" t="str">
        <f>_xlfn.IFS((J157&lt;20),"Need Improvement",(J157=20),"Good",(J157&gt;20),"Very Good",(J157&gt;30),"Excellent")</f>
        <v>Very Good</v>
      </c>
      <c r="Q157" s="40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 x14ac:dyDescent="0.3">
      <c r="A158" s="3" t="s">
        <v>105</v>
      </c>
      <c r="B158" s="3" t="s">
        <v>106</v>
      </c>
      <c r="C158" s="3" t="s">
        <v>60</v>
      </c>
      <c r="D158" s="3" t="s">
        <v>50</v>
      </c>
      <c r="E158" s="4">
        <v>44895</v>
      </c>
      <c r="F158" s="5">
        <v>10</v>
      </c>
      <c r="G158" s="5">
        <v>8</v>
      </c>
      <c r="H158" s="5">
        <v>7</v>
      </c>
      <c r="I158" s="5">
        <v>6</v>
      </c>
      <c r="J158" s="6">
        <f>SUM(F158:I158)</f>
        <v>31</v>
      </c>
      <c r="K158" s="3" t="str">
        <f>IF(J158&gt;=25,"Qualified","Disqualified")</f>
        <v>Qualified</v>
      </c>
      <c r="L158" s="3" t="str">
        <f>IF(NOT(J158=0),"Pass","Fail")</f>
        <v>Pass</v>
      </c>
      <c r="M158" s="3" t="str">
        <f t="array" ref="M158">IF(AND(F158:I158&gt;6,J158&gt;=25),"Pass","Fail")</f>
        <v>Fail</v>
      </c>
      <c r="N158" s="3" t="str">
        <f t="array" ref="N158">IF(OR(F158:I158&gt;6,J158&gt;=25),"Pass","Fail")</f>
        <v>Pass</v>
      </c>
      <c r="O158" s="3">
        <f>COUNTIF(F158:I158,"&gt;6")</f>
        <v>3</v>
      </c>
      <c r="P158" s="3" t="str">
        <f>_xlfn.IFS((J158&lt;20),"Need Improvement",(J158=20),"Good",(J158&gt;20),"Very Good",(J158&gt;30),"Excellent")</f>
        <v>Very Good</v>
      </c>
      <c r="Q158" s="40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 x14ac:dyDescent="0.3">
      <c r="A159" s="3" t="s">
        <v>159</v>
      </c>
      <c r="B159" s="3" t="s">
        <v>160</v>
      </c>
      <c r="C159" s="3" t="s">
        <v>25</v>
      </c>
      <c r="D159" s="3" t="s">
        <v>31</v>
      </c>
      <c r="E159" s="4">
        <v>44357</v>
      </c>
      <c r="F159" s="5">
        <v>5</v>
      </c>
      <c r="G159" s="5">
        <v>7</v>
      </c>
      <c r="H159" s="5">
        <v>9</v>
      </c>
      <c r="I159" s="5">
        <v>10</v>
      </c>
      <c r="J159" s="6">
        <f>SUM(F159:I159)</f>
        <v>31</v>
      </c>
      <c r="K159" s="3" t="str">
        <f>IF(J159&gt;=25,"Qualified","Disqualified")</f>
        <v>Qualified</v>
      </c>
      <c r="L159" s="3" t="str">
        <f>IF(NOT(J159=0),"Pass","Fail")</f>
        <v>Pass</v>
      </c>
      <c r="M159" s="3" t="str">
        <f t="array" ref="M159">IF(AND(F159:I159&gt;6,J159&gt;=25),"Pass","Fail")</f>
        <v>Fail</v>
      </c>
      <c r="N159" s="3" t="str">
        <f t="array" ref="N159">IF(OR(F159:I159&gt;6,J159&gt;=25),"Pass","Fail")</f>
        <v>Pass</v>
      </c>
      <c r="O159" s="3">
        <f>COUNTIF(F159:I159,"&gt;6")</f>
        <v>3</v>
      </c>
      <c r="P159" s="3" t="str">
        <f>_xlfn.IFS((J159&lt;20),"Need Improvement",(J159=20),"Good",(J159&gt;20),"Very Good",(J159&gt;30),"Excellent")</f>
        <v>Very Good</v>
      </c>
      <c r="Q159" s="40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 x14ac:dyDescent="0.3">
      <c r="A160" s="3" t="s">
        <v>197</v>
      </c>
      <c r="B160" s="3" t="s">
        <v>198</v>
      </c>
      <c r="C160" s="3" t="s">
        <v>25</v>
      </c>
      <c r="D160" s="3" t="s">
        <v>43</v>
      </c>
      <c r="E160" s="4">
        <v>44365</v>
      </c>
      <c r="F160" s="5">
        <v>9</v>
      </c>
      <c r="G160" s="5">
        <v>9</v>
      </c>
      <c r="H160" s="5">
        <v>7</v>
      </c>
      <c r="I160" s="5">
        <v>6</v>
      </c>
      <c r="J160" s="6">
        <f>SUM(F160:I160)</f>
        <v>31</v>
      </c>
      <c r="K160" s="3" t="str">
        <f>IF(J160&gt;=25,"Qualified","Disqualified")</f>
        <v>Qualified</v>
      </c>
      <c r="L160" s="3" t="str">
        <f>IF(NOT(J160=0),"Pass","Fail")</f>
        <v>Pass</v>
      </c>
      <c r="M160" s="3" t="str">
        <f t="array" ref="M160">IF(AND(F160:I160&gt;6,J160&gt;=25),"Pass","Fail")</f>
        <v>Fail</v>
      </c>
      <c r="N160" s="3" t="str">
        <f t="array" ref="N160">IF(OR(F160:I160&gt;6,J160&gt;=25),"Pass","Fail")</f>
        <v>Pass</v>
      </c>
      <c r="O160" s="3">
        <f>COUNTIF(F160:I160,"&gt;6")</f>
        <v>3</v>
      </c>
      <c r="P160" s="3" t="str">
        <f>_xlfn.IFS((J160&lt;20),"Need Improvement",(J160=20),"Good",(J160&gt;20),"Very Good",(J160&gt;30),"Excellent")</f>
        <v>Very Good</v>
      </c>
      <c r="Q160" s="40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 x14ac:dyDescent="0.3">
      <c r="A161" s="3" t="s">
        <v>211</v>
      </c>
      <c r="B161" s="3" t="s">
        <v>212</v>
      </c>
      <c r="C161" s="3" t="s">
        <v>25</v>
      </c>
      <c r="D161" s="3" t="s">
        <v>56</v>
      </c>
      <c r="E161" s="4">
        <v>44550</v>
      </c>
      <c r="F161" s="5">
        <v>10</v>
      </c>
      <c r="G161" s="5">
        <v>5</v>
      </c>
      <c r="H161" s="5">
        <v>10</v>
      </c>
      <c r="I161" s="5">
        <v>6</v>
      </c>
      <c r="J161" s="6">
        <f>SUM(F161:I161)</f>
        <v>31</v>
      </c>
      <c r="K161" s="3" t="str">
        <f>IF(J161&gt;=25,"Qualified","Disqualified")</f>
        <v>Qualified</v>
      </c>
      <c r="L161" s="3" t="str">
        <f>IF(NOT(J161=0),"Pass","Fail")</f>
        <v>Pass</v>
      </c>
      <c r="M161" s="3" t="str">
        <f t="array" ref="M161">IF(AND(F161:I161&gt;6,J161&gt;=25),"Pass","Fail")</f>
        <v>Fail</v>
      </c>
      <c r="N161" s="3" t="str">
        <f t="array" ref="N161">IF(OR(F161:I161&gt;6,J161&gt;=25),"Pass","Fail")</f>
        <v>Pass</v>
      </c>
      <c r="O161" s="3">
        <f>COUNTIF(F161:I161,"&gt;6")</f>
        <v>2</v>
      </c>
      <c r="P161" s="3" t="str">
        <f>_xlfn.IFS((J161&lt;20),"Need Improvement",(J161=20),"Good",(J161&gt;20),"Very Good",(J161&gt;30),"Excellent")</f>
        <v>Very Good</v>
      </c>
      <c r="Q161" s="40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 x14ac:dyDescent="0.3">
      <c r="A162" s="3" t="s">
        <v>280</v>
      </c>
      <c r="B162" s="3" t="s">
        <v>281</v>
      </c>
      <c r="C162" s="3" t="s">
        <v>25</v>
      </c>
      <c r="D162" s="3" t="s">
        <v>129</v>
      </c>
      <c r="E162" s="4">
        <v>44521</v>
      </c>
      <c r="F162" s="5">
        <v>7</v>
      </c>
      <c r="G162" s="5">
        <v>8</v>
      </c>
      <c r="H162" s="5">
        <v>10</v>
      </c>
      <c r="I162" s="5">
        <v>6</v>
      </c>
      <c r="J162" s="6">
        <f>SUM(F162:I162)</f>
        <v>31</v>
      </c>
      <c r="K162" s="3" t="str">
        <f>IF(J162&gt;=25,"Qualified","Disqualified")</f>
        <v>Qualified</v>
      </c>
      <c r="L162" s="3" t="str">
        <f>IF(NOT(J162=0),"Pass","Fail")</f>
        <v>Pass</v>
      </c>
      <c r="M162" s="3" t="str">
        <f t="array" ref="M162">IF(AND(F162:I162&gt;6,J162&gt;=25),"Pass","Fail")</f>
        <v>Fail</v>
      </c>
      <c r="N162" s="3" t="str">
        <f t="array" ref="N162">IF(OR(F162:I162&gt;6,J162&gt;=25),"Pass","Fail")</f>
        <v>Pass</v>
      </c>
      <c r="O162" s="3">
        <f>COUNTIF(F162:I162,"&gt;6")</f>
        <v>3</v>
      </c>
      <c r="P162" s="3" t="str">
        <f>_xlfn.IFS((J162&lt;20),"Need Improvement",(J162=20),"Good",(J162&gt;20),"Very Good",(J162&gt;30),"Excellent")</f>
        <v>Very Good</v>
      </c>
      <c r="Q162" s="40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 x14ac:dyDescent="0.3">
      <c r="A163" s="3" t="s">
        <v>284</v>
      </c>
      <c r="B163" s="3" t="s">
        <v>285</v>
      </c>
      <c r="C163" s="3" t="s">
        <v>25</v>
      </c>
      <c r="D163" s="3" t="s">
        <v>56</v>
      </c>
      <c r="E163" s="4">
        <v>44949</v>
      </c>
      <c r="F163" s="5">
        <v>6</v>
      </c>
      <c r="G163" s="5">
        <v>5</v>
      </c>
      <c r="H163" s="5">
        <v>10</v>
      </c>
      <c r="I163" s="5">
        <v>10</v>
      </c>
      <c r="J163" s="6">
        <f>SUM(F163:I163)</f>
        <v>31</v>
      </c>
      <c r="K163" s="3" t="str">
        <f>IF(J163&gt;=25,"Qualified","Disqualified")</f>
        <v>Qualified</v>
      </c>
      <c r="L163" s="3" t="str">
        <f>IF(NOT(J163=0),"Pass","Fail")</f>
        <v>Pass</v>
      </c>
      <c r="M163" s="3" t="str">
        <f t="array" ref="M163">IF(AND(F163:I163&gt;6,J163&gt;=25),"Pass","Fail")</f>
        <v>Fail</v>
      </c>
      <c r="N163" s="3" t="str">
        <f t="array" ref="N163">IF(OR(F163:I163&gt;6,J163&gt;=25),"Pass","Fail")</f>
        <v>Pass</v>
      </c>
      <c r="O163" s="3">
        <f>COUNTIF(F163:I163,"&gt;6")</f>
        <v>2</v>
      </c>
      <c r="P163" s="3" t="str">
        <f>_xlfn.IFS((J163&lt;20),"Need Improvement",(J163=20),"Good",(J163&gt;20),"Very Good",(J163&gt;30),"Excellent")</f>
        <v>Very Good</v>
      </c>
      <c r="Q163" s="40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 x14ac:dyDescent="0.3">
      <c r="A164" s="3" t="s">
        <v>300</v>
      </c>
      <c r="B164" s="3" t="s">
        <v>301</v>
      </c>
      <c r="C164" s="3" t="s">
        <v>60</v>
      </c>
      <c r="D164" s="3" t="s">
        <v>31</v>
      </c>
      <c r="E164" s="4">
        <v>44315</v>
      </c>
      <c r="F164" s="5">
        <v>10</v>
      </c>
      <c r="G164" s="5">
        <v>5</v>
      </c>
      <c r="H164" s="5">
        <v>8</v>
      </c>
      <c r="I164" s="5">
        <v>8</v>
      </c>
      <c r="J164" s="6">
        <f>SUM(F164:I164)</f>
        <v>31</v>
      </c>
      <c r="K164" s="3" t="str">
        <f>IF(J164&gt;=25,"Qualified","Disqualified")</f>
        <v>Qualified</v>
      </c>
      <c r="L164" s="3" t="str">
        <f>IF(NOT(J164=0),"Pass","Fail")</f>
        <v>Pass</v>
      </c>
      <c r="M164" s="3" t="str">
        <f t="array" ref="M164">IF(AND(F164:I164&gt;6,J164&gt;=25),"Pass","Fail")</f>
        <v>Fail</v>
      </c>
      <c r="N164" s="3" t="str">
        <f t="array" ref="N164">IF(OR(F164:I164&gt;6,J164&gt;=25),"Pass","Fail")</f>
        <v>Pass</v>
      </c>
      <c r="O164" s="3">
        <f>COUNTIF(F164:I164,"&gt;6")</f>
        <v>3</v>
      </c>
      <c r="P164" s="3" t="str">
        <f>_xlfn.IFS((J164&lt;20),"Need Improvement",(J164=20),"Good",(J164&gt;20),"Very Good",(J164&gt;30),"Excellent")</f>
        <v>Very Good</v>
      </c>
      <c r="Q164" s="40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 x14ac:dyDescent="0.3">
      <c r="A165" s="3" t="s">
        <v>310</v>
      </c>
      <c r="B165" s="3" t="s">
        <v>311</v>
      </c>
      <c r="C165" s="3" t="s">
        <v>69</v>
      </c>
      <c r="D165" s="3" t="s">
        <v>56</v>
      </c>
      <c r="E165" s="4">
        <v>44543</v>
      </c>
      <c r="F165" s="5">
        <v>7</v>
      </c>
      <c r="G165" s="5">
        <v>6</v>
      </c>
      <c r="H165" s="5">
        <v>9</v>
      </c>
      <c r="I165" s="5">
        <v>9</v>
      </c>
      <c r="J165" s="6">
        <f>SUM(F165:I165)</f>
        <v>31</v>
      </c>
      <c r="K165" s="3" t="str">
        <f>IF(J165&gt;=25,"Qualified","Disqualified")</f>
        <v>Qualified</v>
      </c>
      <c r="L165" s="3" t="str">
        <f>IF(NOT(J165=0),"Pass","Fail")</f>
        <v>Pass</v>
      </c>
      <c r="M165" s="3" t="str">
        <f t="array" ref="M165">IF(AND(F165:I165&gt;6,J165&gt;=25),"Pass","Fail")</f>
        <v>Fail</v>
      </c>
      <c r="N165" s="3" t="str">
        <f t="array" ref="N165">IF(OR(F165:I165&gt;6,J165&gt;=25),"Pass","Fail")</f>
        <v>Pass</v>
      </c>
      <c r="O165" s="3">
        <f>COUNTIF(F165:I165,"&gt;6")</f>
        <v>3</v>
      </c>
      <c r="P165" s="3" t="str">
        <f>_xlfn.IFS((J165&lt;20),"Need Improvement",(J165=20),"Good",(J165&gt;20),"Very Good",(J165&gt;30),"Excellent")</f>
        <v>Very Good</v>
      </c>
      <c r="Q165" s="40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 x14ac:dyDescent="0.3">
      <c r="A166" s="3" t="s">
        <v>320</v>
      </c>
      <c r="B166" s="3" t="s">
        <v>321</v>
      </c>
      <c r="C166" s="3" t="s">
        <v>60</v>
      </c>
      <c r="D166" s="3" t="s">
        <v>31</v>
      </c>
      <c r="E166" s="4">
        <v>44413</v>
      </c>
      <c r="F166" s="5">
        <v>8</v>
      </c>
      <c r="G166" s="5">
        <v>9</v>
      </c>
      <c r="H166" s="5">
        <v>4</v>
      </c>
      <c r="I166" s="5">
        <v>10</v>
      </c>
      <c r="J166" s="6">
        <f>SUM(F166:I166)</f>
        <v>31</v>
      </c>
      <c r="K166" s="3" t="str">
        <f>IF(J166&gt;=25,"Qualified","Disqualified")</f>
        <v>Qualified</v>
      </c>
      <c r="L166" s="3" t="str">
        <f>IF(NOT(J166=0),"Pass","Fail")</f>
        <v>Pass</v>
      </c>
      <c r="M166" s="3" t="str">
        <f t="array" ref="M166">IF(AND(F166:I166&gt;6,J166&gt;=25),"Pass","Fail")</f>
        <v>Fail</v>
      </c>
      <c r="N166" s="3" t="str">
        <f t="array" ref="N166">IF(OR(F166:I166&gt;6,J166&gt;=25),"Pass","Fail")</f>
        <v>Pass</v>
      </c>
      <c r="O166" s="3">
        <f>COUNTIF(F166:I166,"&gt;6")</f>
        <v>3</v>
      </c>
      <c r="P166" s="3" t="str">
        <f>_xlfn.IFS((J166&lt;20),"Need Improvement",(J166=20),"Good",(J166&gt;20),"Very Good",(J166&gt;30),"Excellent")</f>
        <v>Very Good</v>
      </c>
      <c r="Q166" s="4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 x14ac:dyDescent="0.3">
      <c r="A167" s="3" t="s">
        <v>356</v>
      </c>
      <c r="B167" s="3" t="s">
        <v>357</v>
      </c>
      <c r="C167" s="3" t="s">
        <v>69</v>
      </c>
      <c r="D167" s="3" t="s">
        <v>96</v>
      </c>
      <c r="E167" s="4">
        <v>44758</v>
      </c>
      <c r="F167" s="5">
        <v>6</v>
      </c>
      <c r="G167" s="5">
        <v>9</v>
      </c>
      <c r="H167" s="5">
        <v>8</v>
      </c>
      <c r="I167" s="5">
        <v>8</v>
      </c>
      <c r="J167" s="6">
        <f>SUM(F167:I167)</f>
        <v>31</v>
      </c>
      <c r="K167" s="3" t="str">
        <f>IF(J167&gt;=25,"Qualified","Disqualified")</f>
        <v>Qualified</v>
      </c>
      <c r="L167" s="3" t="str">
        <f>IF(NOT(J167=0),"Pass","Fail")</f>
        <v>Pass</v>
      </c>
      <c r="M167" s="3" t="str">
        <f t="array" ref="M167">IF(AND(F167:I167&gt;6,J167&gt;=25),"Pass","Fail")</f>
        <v>Fail</v>
      </c>
      <c r="N167" s="3" t="str">
        <f t="array" ref="N167">IF(OR(F167:I167&gt;6,J167&gt;=25),"Pass","Fail")</f>
        <v>Pass</v>
      </c>
      <c r="O167" s="3">
        <f>COUNTIF(F167:I167,"&gt;6")</f>
        <v>3</v>
      </c>
      <c r="P167" s="3" t="str">
        <f>_xlfn.IFS((J167&lt;20),"Need Improvement",(J167=20),"Good",(J167&gt;20),"Very Good",(J167&gt;30),"Excellent")</f>
        <v>Very Good</v>
      </c>
      <c r="Q167" s="40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 x14ac:dyDescent="0.3">
      <c r="A168" s="3" t="s">
        <v>405</v>
      </c>
      <c r="B168" s="3" t="s">
        <v>224</v>
      </c>
      <c r="C168" s="3" t="s">
        <v>136</v>
      </c>
      <c r="D168" s="3" t="s">
        <v>129</v>
      </c>
      <c r="E168" s="4">
        <v>44584</v>
      </c>
      <c r="F168" s="5">
        <v>5</v>
      </c>
      <c r="G168" s="5">
        <v>9</v>
      </c>
      <c r="H168" s="5">
        <v>7</v>
      </c>
      <c r="I168" s="5">
        <v>10</v>
      </c>
      <c r="J168" s="6">
        <f>SUM(F168:I168)</f>
        <v>31</v>
      </c>
      <c r="K168" s="3" t="str">
        <f>IF(J168&gt;=25,"Qualified","Disqualified")</f>
        <v>Qualified</v>
      </c>
      <c r="L168" s="3" t="str">
        <f>IF(NOT(J168=0),"Pass","Fail")</f>
        <v>Pass</v>
      </c>
      <c r="M168" s="3" t="str">
        <f t="array" ref="M168">IF(AND(F168:I168&gt;6,J168&gt;=25),"Pass","Fail")</f>
        <v>Fail</v>
      </c>
      <c r="N168" s="3" t="str">
        <f t="array" ref="N168">IF(OR(F168:I168&gt;6,J168&gt;=25),"Pass","Fail")</f>
        <v>Pass</v>
      </c>
      <c r="O168" s="3">
        <f>COUNTIF(F168:I168,"&gt;6")</f>
        <v>3</v>
      </c>
      <c r="P168" s="3" t="str">
        <f>_xlfn.IFS((J168&lt;20),"Need Improvement",(J168=20),"Good",(J168&gt;20),"Very Good",(J168&gt;30),"Excellent")</f>
        <v>Very Good</v>
      </c>
      <c r="Q168" s="40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 x14ac:dyDescent="0.3">
      <c r="A169" s="3" t="s">
        <v>410</v>
      </c>
      <c r="B169" s="3" t="s">
        <v>234</v>
      </c>
      <c r="C169" s="3" t="s">
        <v>69</v>
      </c>
      <c r="D169" s="3" t="s">
        <v>129</v>
      </c>
      <c r="E169" s="4">
        <v>44864</v>
      </c>
      <c r="F169" s="5">
        <v>9</v>
      </c>
      <c r="G169" s="5">
        <v>10</v>
      </c>
      <c r="H169" s="5">
        <v>5</v>
      </c>
      <c r="I169" s="5">
        <v>7</v>
      </c>
      <c r="J169" s="6">
        <f>SUM(F169:I169)</f>
        <v>31</v>
      </c>
      <c r="K169" s="3" t="str">
        <f>IF(J169&gt;=25,"Qualified","Disqualified")</f>
        <v>Qualified</v>
      </c>
      <c r="L169" s="3" t="str">
        <f>IF(NOT(J169=0),"Pass","Fail")</f>
        <v>Pass</v>
      </c>
      <c r="M169" s="3" t="str">
        <f t="array" ref="M169">IF(AND(F169:I169&gt;6,J169&gt;=25),"Pass","Fail")</f>
        <v>Fail</v>
      </c>
      <c r="N169" s="3" t="str">
        <f t="array" ref="N169">IF(OR(F169:I169&gt;6,J169&gt;=25),"Pass","Fail")</f>
        <v>Pass</v>
      </c>
      <c r="O169" s="3">
        <f>COUNTIF(F169:I169,"&gt;6")</f>
        <v>3</v>
      </c>
      <c r="P169" s="3" t="str">
        <f>_xlfn.IFS((J169&lt;20),"Need Improvement",(J169=20),"Good",(J169&gt;20),"Very Good",(J169&gt;30),"Excellent")</f>
        <v>Very Good</v>
      </c>
      <c r="Q169" s="40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 x14ac:dyDescent="0.3">
      <c r="A170" s="3" t="s">
        <v>419</v>
      </c>
      <c r="B170" s="3" t="s">
        <v>252</v>
      </c>
      <c r="C170" s="3" t="s">
        <v>25</v>
      </c>
      <c r="D170" s="3" t="s">
        <v>31</v>
      </c>
      <c r="E170" s="4">
        <v>44679</v>
      </c>
      <c r="F170" s="5">
        <v>7</v>
      </c>
      <c r="G170" s="5">
        <v>10</v>
      </c>
      <c r="H170" s="5">
        <v>9</v>
      </c>
      <c r="I170" s="5">
        <v>5</v>
      </c>
      <c r="J170" s="6">
        <f>SUM(F170:I170)</f>
        <v>31</v>
      </c>
      <c r="K170" s="3" t="str">
        <f>IF(J170&gt;=25,"Qualified","Disqualified")</f>
        <v>Qualified</v>
      </c>
      <c r="L170" s="3" t="str">
        <f>IF(NOT(J170=0),"Pass","Fail")</f>
        <v>Pass</v>
      </c>
      <c r="M170" s="3" t="str">
        <f t="array" ref="M170">IF(AND(F170:I170&gt;6,J170&gt;=25),"Pass","Fail")</f>
        <v>Fail</v>
      </c>
      <c r="N170" s="3" t="str">
        <f t="array" ref="N170">IF(OR(F170:I170&gt;6,J170&gt;=25),"Pass","Fail")</f>
        <v>Pass</v>
      </c>
      <c r="O170" s="3">
        <f>COUNTIF(F170:I170,"&gt;6")</f>
        <v>3</v>
      </c>
      <c r="P170" s="3" t="str">
        <f>_xlfn.IFS((J170&lt;20),"Need Improvement",(J170=20),"Good",(J170&gt;20),"Very Good",(J170&gt;30),"Excellent")</f>
        <v>Very Good</v>
      </c>
      <c r="Q170" s="40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 x14ac:dyDescent="0.3">
      <c r="A171" s="3" t="s">
        <v>422</v>
      </c>
      <c r="B171" s="3" t="s">
        <v>258</v>
      </c>
      <c r="C171" s="3" t="s">
        <v>25</v>
      </c>
      <c r="D171" s="3" t="s">
        <v>56</v>
      </c>
      <c r="E171" s="4">
        <v>44998</v>
      </c>
      <c r="F171" s="5">
        <v>9</v>
      </c>
      <c r="G171" s="5">
        <v>6</v>
      </c>
      <c r="H171" s="5">
        <v>6</v>
      </c>
      <c r="I171" s="5">
        <v>10</v>
      </c>
      <c r="J171" s="6">
        <f>SUM(F171:I171)</f>
        <v>31</v>
      </c>
      <c r="K171" s="3" t="str">
        <f>IF(J171&gt;=25,"Qualified","Disqualified")</f>
        <v>Qualified</v>
      </c>
      <c r="L171" s="3" t="str">
        <f>IF(NOT(J171=0),"Pass","Fail")</f>
        <v>Pass</v>
      </c>
      <c r="M171" s="3" t="str">
        <f t="array" ref="M171">IF(AND(F171:I171&gt;6,J171&gt;=25),"Pass","Fail")</f>
        <v>Fail</v>
      </c>
      <c r="N171" s="3" t="str">
        <f t="array" ref="N171">IF(OR(F171:I171&gt;6,J171&gt;=25),"Pass","Fail")</f>
        <v>Pass</v>
      </c>
      <c r="O171" s="3">
        <f>COUNTIF(F171:I171,"&gt;6")</f>
        <v>2</v>
      </c>
      <c r="P171" s="3" t="str">
        <f>_xlfn.IFS((J171&lt;20),"Need Improvement",(J171=20),"Good",(J171&gt;20),"Very Good",(J171&gt;30),"Excellent")</f>
        <v>Very Good</v>
      </c>
      <c r="Q171" s="40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 x14ac:dyDescent="0.3">
      <c r="A172" s="3" t="s">
        <v>70</v>
      </c>
      <c r="B172" s="3" t="s">
        <v>71</v>
      </c>
      <c r="C172" s="3" t="s">
        <v>69</v>
      </c>
      <c r="D172" s="3" t="s">
        <v>26</v>
      </c>
      <c r="E172" s="4">
        <v>44530</v>
      </c>
      <c r="F172" s="5">
        <v>8</v>
      </c>
      <c r="G172" s="5">
        <v>10</v>
      </c>
      <c r="H172" s="5">
        <v>10</v>
      </c>
      <c r="I172" s="5">
        <v>4</v>
      </c>
      <c r="J172" s="6">
        <f>SUM(F172:I172)</f>
        <v>32</v>
      </c>
      <c r="K172" s="3" t="str">
        <f>IF(J172&gt;=25,"Qualified","Disqualified")</f>
        <v>Qualified</v>
      </c>
      <c r="L172" s="3" t="str">
        <f>IF(NOT(J172=0),"Pass","Fail")</f>
        <v>Pass</v>
      </c>
      <c r="M172" s="3" t="str">
        <f t="array" ref="M172">IF(AND(F172:I172&gt;6,J172&gt;=25),"Pass","Fail")</f>
        <v>Fail</v>
      </c>
      <c r="N172" s="3" t="str">
        <f t="array" ref="N172">IF(OR(F172:I172&gt;6,J172&gt;=25),"Pass","Fail")</f>
        <v>Pass</v>
      </c>
      <c r="O172" s="3">
        <f>COUNTIF(F172:I172,"&gt;6")</f>
        <v>3</v>
      </c>
      <c r="P172" s="3" t="str">
        <f>_xlfn.IFS((J172&lt;20),"Need Improvement",(J172=20),"Good",(J172&gt;20),"Very Good",(J172&gt;30),"Excellent")</f>
        <v>Very Good</v>
      </c>
      <c r="Q172" s="40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 x14ac:dyDescent="0.3">
      <c r="A173" s="3" t="s">
        <v>101</v>
      </c>
      <c r="B173" s="3" t="s">
        <v>102</v>
      </c>
      <c r="C173" s="3" t="s">
        <v>69</v>
      </c>
      <c r="D173" s="3" t="s">
        <v>50</v>
      </c>
      <c r="E173" s="4">
        <v>44860</v>
      </c>
      <c r="F173" s="5">
        <v>8</v>
      </c>
      <c r="G173" s="5">
        <v>9</v>
      </c>
      <c r="H173" s="5">
        <v>8</v>
      </c>
      <c r="I173" s="5">
        <v>7</v>
      </c>
      <c r="J173" s="6">
        <f>SUM(F173:I173)</f>
        <v>32</v>
      </c>
      <c r="K173" s="3" t="str">
        <f>IF(J173&gt;=25,"Qualified","Disqualified")</f>
        <v>Qualified</v>
      </c>
      <c r="L173" s="3" t="str">
        <f>IF(NOT(J173=0),"Pass","Fail")</f>
        <v>Pass</v>
      </c>
      <c r="M173" s="3" t="str">
        <f t="array" ref="M173">IF(AND(F173:I173&gt;6,J173&gt;=25),"Pass","Fail")</f>
        <v>Pass</v>
      </c>
      <c r="N173" s="3" t="str">
        <f t="array" ref="N173">IF(OR(F173:I173&gt;6,J173&gt;=25),"Pass","Fail")</f>
        <v>Pass</v>
      </c>
      <c r="O173" s="3">
        <f>COUNTIF(F173:I173,"&gt;6")</f>
        <v>4</v>
      </c>
      <c r="P173" s="3" t="str">
        <f>_xlfn.IFS((J173&lt;20),"Need Improvement",(J173=20),"Good",(J173&gt;20),"Very Good",(J173&gt;30),"Excellent")</f>
        <v>Very Good</v>
      </c>
      <c r="Q173" s="40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 x14ac:dyDescent="0.3">
      <c r="A174" s="3" t="s">
        <v>173</v>
      </c>
      <c r="B174" s="3" t="s">
        <v>174</v>
      </c>
      <c r="C174" s="3" t="s">
        <v>25</v>
      </c>
      <c r="D174" s="3" t="s">
        <v>43</v>
      </c>
      <c r="E174" s="4">
        <v>44624</v>
      </c>
      <c r="F174" s="5">
        <v>9</v>
      </c>
      <c r="G174" s="5">
        <v>9</v>
      </c>
      <c r="H174" s="5">
        <v>9</v>
      </c>
      <c r="I174" s="5">
        <v>5</v>
      </c>
      <c r="J174" s="6">
        <f>SUM(F174:I174)</f>
        <v>32</v>
      </c>
      <c r="K174" s="3" t="str">
        <f>IF(J174&gt;=25,"Qualified","Disqualified")</f>
        <v>Qualified</v>
      </c>
      <c r="L174" s="3" t="str">
        <f>IF(NOT(J174=0),"Pass","Fail")</f>
        <v>Pass</v>
      </c>
      <c r="M174" s="3" t="str">
        <f t="array" ref="M174">IF(AND(F174:I174&gt;6,J174&gt;=25),"Pass","Fail")</f>
        <v>Fail</v>
      </c>
      <c r="N174" s="3" t="str">
        <f t="array" ref="N174">IF(OR(F174:I174&gt;6,J174&gt;=25),"Pass","Fail")</f>
        <v>Pass</v>
      </c>
      <c r="O174" s="3">
        <f>COUNTIF(F174:I174,"&gt;6")</f>
        <v>3</v>
      </c>
      <c r="P174" s="3" t="str">
        <f>_xlfn.IFS((J174&lt;20),"Need Improvement",(J174=20),"Good",(J174&gt;20),"Very Good",(J174&gt;30),"Excellent")</f>
        <v>Very Good</v>
      </c>
      <c r="Q174" s="40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 x14ac:dyDescent="0.3">
      <c r="A175" s="3" t="s">
        <v>187</v>
      </c>
      <c r="B175" s="3" t="s">
        <v>188</v>
      </c>
      <c r="C175" s="3" t="s">
        <v>69</v>
      </c>
      <c r="D175" s="3" t="s">
        <v>31</v>
      </c>
      <c r="E175" s="4">
        <v>44973</v>
      </c>
      <c r="F175" s="5">
        <v>10</v>
      </c>
      <c r="G175" s="5">
        <v>6</v>
      </c>
      <c r="H175" s="5">
        <v>10</v>
      </c>
      <c r="I175" s="5">
        <v>6</v>
      </c>
      <c r="J175" s="6">
        <f>SUM(F175:I175)</f>
        <v>32</v>
      </c>
      <c r="K175" s="3" t="str">
        <f>IF(J175&gt;=25,"Qualified","Disqualified")</f>
        <v>Qualified</v>
      </c>
      <c r="L175" s="3" t="str">
        <f>IF(NOT(J175=0),"Pass","Fail")</f>
        <v>Pass</v>
      </c>
      <c r="M175" s="3" t="str">
        <f t="array" ref="M175">IF(AND(F175:I175&gt;6,J175&gt;=25),"Pass","Fail")</f>
        <v>Fail</v>
      </c>
      <c r="N175" s="3" t="str">
        <f t="array" ref="N175">IF(OR(F175:I175&gt;6,J175&gt;=25),"Pass","Fail")</f>
        <v>Pass</v>
      </c>
      <c r="O175" s="3">
        <f>COUNTIF(F175:I175,"&gt;6")</f>
        <v>2</v>
      </c>
      <c r="P175" s="3" t="str">
        <f>_xlfn.IFS((J175&lt;20),"Need Improvement",(J175=20),"Good",(J175&gt;20),"Very Good",(J175&gt;30),"Excellent")</f>
        <v>Very Good</v>
      </c>
      <c r="Q175" s="40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 x14ac:dyDescent="0.3">
      <c r="A176" s="3" t="s">
        <v>229</v>
      </c>
      <c r="B176" s="3" t="s">
        <v>230</v>
      </c>
      <c r="C176" s="3" t="s">
        <v>69</v>
      </c>
      <c r="D176" s="3" t="s">
        <v>26</v>
      </c>
      <c r="E176" s="4">
        <v>44866</v>
      </c>
      <c r="F176" s="5">
        <v>9</v>
      </c>
      <c r="G176" s="5">
        <v>10</v>
      </c>
      <c r="H176" s="5">
        <v>8</v>
      </c>
      <c r="I176" s="5">
        <v>5</v>
      </c>
      <c r="J176" s="6">
        <f>SUM(F176:I176)</f>
        <v>32</v>
      </c>
      <c r="K176" s="3" t="str">
        <f>IF(J176&gt;=25,"Qualified","Disqualified")</f>
        <v>Qualified</v>
      </c>
      <c r="L176" s="3" t="str">
        <f>IF(NOT(J176=0),"Pass","Fail")</f>
        <v>Pass</v>
      </c>
      <c r="M176" s="3" t="str">
        <f t="array" ref="M176">IF(AND(F176:I176&gt;6,J176&gt;=25),"Pass","Fail")</f>
        <v>Fail</v>
      </c>
      <c r="N176" s="3" t="str">
        <f t="array" ref="N176">IF(OR(F176:I176&gt;6,J176&gt;=25),"Pass","Fail")</f>
        <v>Pass</v>
      </c>
      <c r="O176" s="3">
        <f>COUNTIF(F176:I176,"&gt;6")</f>
        <v>3</v>
      </c>
      <c r="P176" s="3" t="str">
        <f>_xlfn.IFS((J176&lt;20),"Need Improvement",(J176=20),"Good",(J176&gt;20),"Very Good",(J176&gt;30),"Excellent")</f>
        <v>Very Good</v>
      </c>
      <c r="Q176" s="40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 x14ac:dyDescent="0.3">
      <c r="A177" s="3" t="s">
        <v>259</v>
      </c>
      <c r="B177" s="3" t="s">
        <v>260</v>
      </c>
      <c r="C177" s="3" t="s">
        <v>60</v>
      </c>
      <c r="D177" s="3" t="s">
        <v>43</v>
      </c>
      <c r="E177" s="4">
        <v>44701</v>
      </c>
      <c r="F177" s="5">
        <v>8</v>
      </c>
      <c r="G177" s="5">
        <v>9</v>
      </c>
      <c r="H177" s="5">
        <v>6</v>
      </c>
      <c r="I177" s="5">
        <v>9</v>
      </c>
      <c r="J177" s="6">
        <f>SUM(F177:I177)</f>
        <v>32</v>
      </c>
      <c r="K177" s="3" t="str">
        <f>IF(J177&gt;=25,"Qualified","Disqualified")</f>
        <v>Qualified</v>
      </c>
      <c r="L177" s="3" t="str">
        <f>IF(NOT(J177=0),"Pass","Fail")</f>
        <v>Pass</v>
      </c>
      <c r="M177" s="3" t="str">
        <f t="array" ref="M177">IF(AND(F177:I177&gt;6,J177&gt;=25),"Pass","Fail")</f>
        <v>Fail</v>
      </c>
      <c r="N177" s="3" t="str">
        <f t="array" ref="N177">IF(OR(F177:I177&gt;6,J177&gt;=25),"Pass","Fail")</f>
        <v>Pass</v>
      </c>
      <c r="O177" s="3">
        <f>COUNTIF(F177:I177,"&gt;6")</f>
        <v>3</v>
      </c>
      <c r="P177" s="3" t="str">
        <f>_xlfn.IFS((J177&lt;20),"Need Improvement",(J177=20),"Good",(J177&gt;20),"Very Good",(J177&gt;30),"Excellent")</f>
        <v>Very Good</v>
      </c>
      <c r="Q177" s="40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 x14ac:dyDescent="0.3">
      <c r="A178" s="3" t="s">
        <v>261</v>
      </c>
      <c r="B178" s="3" t="s">
        <v>262</v>
      </c>
      <c r="C178" s="3" t="s">
        <v>136</v>
      </c>
      <c r="D178" s="3" t="s">
        <v>96</v>
      </c>
      <c r="E178" s="4">
        <v>44499</v>
      </c>
      <c r="F178" s="5">
        <v>8</v>
      </c>
      <c r="G178" s="5">
        <v>5</v>
      </c>
      <c r="H178" s="5">
        <v>9</v>
      </c>
      <c r="I178" s="5">
        <v>10</v>
      </c>
      <c r="J178" s="6">
        <f>SUM(F178:I178)</f>
        <v>32</v>
      </c>
      <c r="K178" s="3" t="str">
        <f>IF(J178&gt;=25,"Qualified","Disqualified")</f>
        <v>Qualified</v>
      </c>
      <c r="L178" s="3" t="str">
        <f>IF(NOT(J178=0),"Pass","Fail")</f>
        <v>Pass</v>
      </c>
      <c r="M178" s="3" t="str">
        <f t="array" ref="M178">IF(AND(F178:I178&gt;6,J178&gt;=25),"Pass","Fail")</f>
        <v>Fail</v>
      </c>
      <c r="N178" s="3" t="str">
        <f t="array" ref="N178">IF(OR(F178:I178&gt;6,J178&gt;=25),"Pass","Fail")</f>
        <v>Pass</v>
      </c>
      <c r="O178" s="3">
        <f>COUNTIF(F178:I178,"&gt;6")</f>
        <v>3</v>
      </c>
      <c r="P178" s="3" t="str">
        <f>_xlfn.IFS((J178&lt;20),"Need Improvement",(J178=20),"Good",(J178&gt;20),"Very Good",(J178&gt;30),"Excellent")</f>
        <v>Very Good</v>
      </c>
      <c r="Q178" s="40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 x14ac:dyDescent="0.3">
      <c r="A179" s="3" t="s">
        <v>282</v>
      </c>
      <c r="B179" s="3" t="s">
        <v>283</v>
      </c>
      <c r="C179" s="3" t="s">
        <v>25</v>
      </c>
      <c r="D179" s="3" t="s">
        <v>31</v>
      </c>
      <c r="E179" s="4">
        <v>44826</v>
      </c>
      <c r="F179" s="5">
        <v>10</v>
      </c>
      <c r="G179" s="5">
        <v>7</v>
      </c>
      <c r="H179" s="5">
        <v>5</v>
      </c>
      <c r="I179" s="5">
        <v>10</v>
      </c>
      <c r="J179" s="6">
        <f>SUM(F179:I179)</f>
        <v>32</v>
      </c>
      <c r="K179" s="3" t="str">
        <f>IF(J179&gt;=25,"Qualified","Disqualified")</f>
        <v>Qualified</v>
      </c>
      <c r="L179" s="3" t="str">
        <f>IF(NOT(J179=0),"Pass","Fail")</f>
        <v>Pass</v>
      </c>
      <c r="M179" s="3" t="str">
        <f t="array" ref="M179">IF(AND(F179:I179&gt;6,J179&gt;=25),"Pass","Fail")</f>
        <v>Fail</v>
      </c>
      <c r="N179" s="3" t="str">
        <f t="array" ref="N179">IF(OR(F179:I179&gt;6,J179&gt;=25),"Pass","Fail")</f>
        <v>Pass</v>
      </c>
      <c r="O179" s="3">
        <f>COUNTIF(F179:I179,"&gt;6")</f>
        <v>3</v>
      </c>
      <c r="P179" s="3" t="str">
        <f>_xlfn.IFS((J179&lt;20),"Need Improvement",(J179=20),"Good",(J179&gt;20),"Very Good",(J179&gt;30),"Excellent")</f>
        <v>Very Good</v>
      </c>
      <c r="Q179" s="40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 x14ac:dyDescent="0.3">
      <c r="A180" s="3" t="s">
        <v>324</v>
      </c>
      <c r="B180" s="3" t="s">
        <v>325</v>
      </c>
      <c r="C180" s="3" t="s">
        <v>25</v>
      </c>
      <c r="D180" s="3" t="s">
        <v>43</v>
      </c>
      <c r="E180" s="4">
        <v>44463</v>
      </c>
      <c r="F180" s="5">
        <v>9</v>
      </c>
      <c r="G180" s="5">
        <v>10</v>
      </c>
      <c r="H180" s="5">
        <v>8</v>
      </c>
      <c r="I180" s="5">
        <v>5</v>
      </c>
      <c r="J180" s="6">
        <f>SUM(F180:I180)</f>
        <v>32</v>
      </c>
      <c r="K180" s="3" t="str">
        <f>IF(J180&gt;=25,"Qualified","Disqualified")</f>
        <v>Qualified</v>
      </c>
      <c r="L180" s="3" t="str">
        <f>IF(NOT(J180=0),"Pass","Fail")</f>
        <v>Pass</v>
      </c>
      <c r="M180" s="3" t="str">
        <f t="array" ref="M180">IF(AND(F180:I180&gt;6,J180&gt;=25),"Pass","Fail")</f>
        <v>Fail</v>
      </c>
      <c r="N180" s="3" t="str">
        <f t="array" ref="N180">IF(OR(F180:I180&gt;6,J180&gt;=25),"Pass","Fail")</f>
        <v>Pass</v>
      </c>
      <c r="O180" s="3">
        <f>COUNTIF(F180:I180,"&gt;6")</f>
        <v>3</v>
      </c>
      <c r="P180" s="3" t="str">
        <f>_xlfn.IFS((J180&lt;20),"Need Improvement",(J180=20),"Good",(J180&gt;20),"Very Good",(J180&gt;30),"Excellent")</f>
        <v>Very Good</v>
      </c>
      <c r="Q180" s="40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 x14ac:dyDescent="0.3">
      <c r="A181" s="3" t="s">
        <v>326</v>
      </c>
      <c r="B181" s="3" t="s">
        <v>327</v>
      </c>
      <c r="C181" s="3" t="s">
        <v>25</v>
      </c>
      <c r="D181" s="3" t="s">
        <v>129</v>
      </c>
      <c r="E181" s="4">
        <v>44332</v>
      </c>
      <c r="F181" s="5">
        <v>10</v>
      </c>
      <c r="G181" s="5">
        <v>10</v>
      </c>
      <c r="H181" s="5">
        <v>5</v>
      </c>
      <c r="I181" s="5">
        <v>7</v>
      </c>
      <c r="J181" s="6">
        <f>SUM(F181:I181)</f>
        <v>32</v>
      </c>
      <c r="K181" s="3" t="str">
        <f>IF(J181&gt;=25,"Qualified","Disqualified")</f>
        <v>Qualified</v>
      </c>
      <c r="L181" s="3" t="str">
        <f>IF(NOT(J181=0),"Pass","Fail")</f>
        <v>Pass</v>
      </c>
      <c r="M181" s="3" t="str">
        <f t="array" ref="M181">IF(AND(F181:I181&gt;6,J181&gt;=25),"Pass","Fail")</f>
        <v>Fail</v>
      </c>
      <c r="N181" s="3" t="str">
        <f t="array" ref="N181">IF(OR(F181:I181&gt;6,J181&gt;=25),"Pass","Fail")</f>
        <v>Pass</v>
      </c>
      <c r="O181" s="3">
        <f>COUNTIF(F181:I181,"&gt;6")</f>
        <v>3</v>
      </c>
      <c r="P181" s="3" t="str">
        <f>_xlfn.IFS((J181&lt;20),"Need Improvement",(J181=20),"Good",(J181&gt;20),"Very Good",(J181&gt;30),"Excellent")</f>
        <v>Very Good</v>
      </c>
      <c r="Q181" s="40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 x14ac:dyDescent="0.3">
      <c r="A182" s="3" t="s">
        <v>338</v>
      </c>
      <c r="B182" s="3" t="s">
        <v>339</v>
      </c>
      <c r="C182" s="3" t="s">
        <v>25</v>
      </c>
      <c r="D182" s="3" t="s">
        <v>96</v>
      </c>
      <c r="E182" s="4">
        <v>44611</v>
      </c>
      <c r="F182" s="5">
        <v>8</v>
      </c>
      <c r="G182" s="5">
        <v>9</v>
      </c>
      <c r="H182" s="5">
        <v>8</v>
      </c>
      <c r="I182" s="5">
        <v>7</v>
      </c>
      <c r="J182" s="6">
        <f>SUM(F182:I182)</f>
        <v>32</v>
      </c>
      <c r="K182" s="3" t="str">
        <f>IF(J182&gt;=25,"Qualified","Disqualified")</f>
        <v>Qualified</v>
      </c>
      <c r="L182" s="3" t="str">
        <f>IF(NOT(J182=0),"Pass","Fail")</f>
        <v>Pass</v>
      </c>
      <c r="M182" s="3" t="str">
        <f t="array" ref="M182">IF(AND(F182:I182&gt;6,J182&gt;=25),"Pass","Fail")</f>
        <v>Pass</v>
      </c>
      <c r="N182" s="3" t="str">
        <f t="array" ref="N182">IF(OR(F182:I182&gt;6,J182&gt;=25),"Pass","Fail")</f>
        <v>Pass</v>
      </c>
      <c r="O182" s="3">
        <f>COUNTIF(F182:I182,"&gt;6")</f>
        <v>4</v>
      </c>
      <c r="P182" s="3" t="str">
        <f>_xlfn.IFS((J182&lt;20),"Need Improvement",(J182=20),"Good",(J182&gt;20),"Very Good",(J182&gt;30),"Excellent")</f>
        <v>Very Good</v>
      </c>
      <c r="Q182" s="40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 x14ac:dyDescent="0.3">
      <c r="A183" s="3" t="s">
        <v>362</v>
      </c>
      <c r="B183" s="3" t="s">
        <v>363</v>
      </c>
      <c r="C183" s="3" t="s">
        <v>60</v>
      </c>
      <c r="D183" s="3" t="s">
        <v>129</v>
      </c>
      <c r="E183" s="4">
        <v>44801</v>
      </c>
      <c r="F183" s="5">
        <v>8</v>
      </c>
      <c r="G183" s="5">
        <v>9</v>
      </c>
      <c r="H183" s="5">
        <v>10</v>
      </c>
      <c r="I183" s="5">
        <v>5</v>
      </c>
      <c r="J183" s="6">
        <f>SUM(F183:I183)</f>
        <v>32</v>
      </c>
      <c r="K183" s="3" t="str">
        <f>IF(J183&gt;=25,"Qualified","Disqualified")</f>
        <v>Qualified</v>
      </c>
      <c r="L183" s="3" t="str">
        <f>IF(NOT(J183=0),"Pass","Fail")</f>
        <v>Pass</v>
      </c>
      <c r="M183" s="3" t="str">
        <f t="array" ref="M183">IF(AND(F183:I183&gt;6,J183&gt;=25),"Pass","Fail")</f>
        <v>Fail</v>
      </c>
      <c r="N183" s="3" t="str">
        <f t="array" ref="N183">IF(OR(F183:I183&gt;6,J183&gt;=25),"Pass","Fail")</f>
        <v>Pass</v>
      </c>
      <c r="O183" s="3">
        <f>COUNTIF(F183:I183,"&gt;6")</f>
        <v>3</v>
      </c>
      <c r="P183" s="3" t="str">
        <f>_xlfn.IFS((J183&lt;20),"Need Improvement",(J183=20),"Good",(J183&gt;20),"Very Good",(J183&gt;30),"Excellent")</f>
        <v>Very Good</v>
      </c>
      <c r="Q183" s="40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 x14ac:dyDescent="0.3">
      <c r="A184" s="3" t="s">
        <v>58</v>
      </c>
      <c r="B184" s="3" t="s">
        <v>59</v>
      </c>
      <c r="C184" s="3" t="s">
        <v>60</v>
      </c>
      <c r="D184" s="3" t="s">
        <v>31</v>
      </c>
      <c r="E184" s="4">
        <v>44791</v>
      </c>
      <c r="F184" s="5">
        <v>10</v>
      </c>
      <c r="G184" s="5">
        <v>8</v>
      </c>
      <c r="H184" s="5">
        <v>8</v>
      </c>
      <c r="I184" s="5">
        <v>7</v>
      </c>
      <c r="J184" s="6">
        <f>SUM(F184:I184)</f>
        <v>33</v>
      </c>
      <c r="K184" s="3" t="str">
        <f>IF(J184&gt;=25,"Qualified","Disqualified")</f>
        <v>Qualified</v>
      </c>
      <c r="L184" s="3" t="str">
        <f>IF(NOT(J184=0),"Pass","Fail")</f>
        <v>Pass</v>
      </c>
      <c r="M184" s="3" t="str">
        <f t="array" ref="M184">IF(AND(F184:I184&gt;6,J184&gt;=25),"Pass","Fail")</f>
        <v>Pass</v>
      </c>
      <c r="N184" s="3" t="str">
        <f t="array" ref="N184">IF(OR(F184:I184&gt;6,J184&gt;=25),"Pass","Fail")</f>
        <v>Pass</v>
      </c>
      <c r="O184" s="3">
        <f>COUNTIF(F184:I184,"&gt;6")</f>
        <v>4</v>
      </c>
      <c r="P184" s="3" t="str">
        <f>_xlfn.IFS((J184&lt;20),"Need Improvement",(J184=20),"Good",(J184&gt;20),"Very Good",(J184&gt;30),"Excellent")</f>
        <v>Very Good</v>
      </c>
      <c r="Q184" s="40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 x14ac:dyDescent="0.3">
      <c r="A185" s="3" t="s">
        <v>147</v>
      </c>
      <c r="B185" s="3" t="s">
        <v>148</v>
      </c>
      <c r="C185" s="3" t="s">
        <v>69</v>
      </c>
      <c r="D185" s="3" t="s">
        <v>96</v>
      </c>
      <c r="E185" s="4">
        <v>44618</v>
      </c>
      <c r="F185" s="5">
        <v>9</v>
      </c>
      <c r="G185" s="5">
        <v>10</v>
      </c>
      <c r="H185" s="5">
        <v>6</v>
      </c>
      <c r="I185" s="5">
        <v>8</v>
      </c>
      <c r="J185" s="6">
        <f>SUM(F185:I185)</f>
        <v>33</v>
      </c>
      <c r="K185" s="3" t="str">
        <f>IF(J185&gt;=25,"Qualified","Disqualified")</f>
        <v>Qualified</v>
      </c>
      <c r="L185" s="3" t="str">
        <f>IF(NOT(J185=0),"Pass","Fail")</f>
        <v>Pass</v>
      </c>
      <c r="M185" s="3" t="str">
        <f t="array" ref="M185">IF(AND(F185:I185&gt;6,J185&gt;=25),"Pass","Fail")</f>
        <v>Fail</v>
      </c>
      <c r="N185" s="3" t="str">
        <f t="array" ref="N185">IF(OR(F185:I185&gt;6,J185&gt;=25),"Pass","Fail")</f>
        <v>Pass</v>
      </c>
      <c r="O185" s="3">
        <f>COUNTIF(F185:I185,"&gt;6")</f>
        <v>3</v>
      </c>
      <c r="P185" s="3" t="str">
        <f>_xlfn.IFS((J185&lt;20),"Need Improvement",(J185=20),"Good",(J185&gt;20),"Very Good",(J185&gt;30),"Excellent")</f>
        <v>Very Good</v>
      </c>
      <c r="Q185" s="40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 x14ac:dyDescent="0.3">
      <c r="A186" s="3" t="s">
        <v>167</v>
      </c>
      <c r="B186" s="3" t="s">
        <v>168</v>
      </c>
      <c r="C186" s="3" t="s">
        <v>25</v>
      </c>
      <c r="D186" s="3" t="s">
        <v>129</v>
      </c>
      <c r="E186" s="4">
        <v>44885</v>
      </c>
      <c r="F186" s="5">
        <v>10</v>
      </c>
      <c r="G186" s="5">
        <v>6</v>
      </c>
      <c r="H186" s="5">
        <v>10</v>
      </c>
      <c r="I186" s="5">
        <v>7</v>
      </c>
      <c r="J186" s="6">
        <f>SUM(F186:I186)</f>
        <v>33</v>
      </c>
      <c r="K186" s="3" t="str">
        <f>IF(J186&gt;=25,"Qualified","Disqualified")</f>
        <v>Qualified</v>
      </c>
      <c r="L186" s="3" t="str">
        <f>IF(NOT(J186=0),"Pass","Fail")</f>
        <v>Pass</v>
      </c>
      <c r="M186" s="3" t="str">
        <f t="array" ref="M186">IF(AND(F186:I186&gt;6,J186&gt;=25),"Pass","Fail")</f>
        <v>Fail</v>
      </c>
      <c r="N186" s="3" t="str">
        <f t="array" ref="N186">IF(OR(F186:I186&gt;6,J186&gt;=25),"Pass","Fail")</f>
        <v>Pass</v>
      </c>
      <c r="O186" s="3">
        <f>COUNTIF(F186:I186,"&gt;6")</f>
        <v>3</v>
      </c>
      <c r="P186" s="3" t="str">
        <f>_xlfn.IFS((J186&lt;20),"Need Improvement",(J186=20),"Good",(J186&gt;20),"Very Good",(J186&gt;30),"Excellent")</f>
        <v>Very Good</v>
      </c>
      <c r="Q186" s="40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 x14ac:dyDescent="0.3">
      <c r="A187" s="3" t="s">
        <v>175</v>
      </c>
      <c r="B187" s="3" t="s">
        <v>176</v>
      </c>
      <c r="C187" s="3" t="s">
        <v>60</v>
      </c>
      <c r="D187" s="3" t="s">
        <v>26</v>
      </c>
      <c r="E187" s="4">
        <v>44551</v>
      </c>
      <c r="F187" s="5">
        <v>8</v>
      </c>
      <c r="G187" s="5">
        <v>6</v>
      </c>
      <c r="H187" s="5">
        <v>10</v>
      </c>
      <c r="I187" s="5">
        <v>9</v>
      </c>
      <c r="J187" s="6">
        <f>SUM(F187:I187)</f>
        <v>33</v>
      </c>
      <c r="K187" s="3" t="str">
        <f>IF(J187&gt;=25,"Qualified","Disqualified")</f>
        <v>Qualified</v>
      </c>
      <c r="L187" s="3" t="str">
        <f>IF(NOT(J187=0),"Pass","Fail")</f>
        <v>Pass</v>
      </c>
      <c r="M187" s="3" t="str">
        <f t="array" ref="M187">IF(AND(F187:I187&gt;6,J187&gt;=25),"Pass","Fail")</f>
        <v>Fail</v>
      </c>
      <c r="N187" s="3" t="str">
        <f t="array" ref="N187">IF(OR(F187:I187&gt;6,J187&gt;=25),"Pass","Fail")</f>
        <v>Pass</v>
      </c>
      <c r="O187" s="3">
        <f>COUNTIF(F187:I187,"&gt;6")</f>
        <v>3</v>
      </c>
      <c r="P187" s="3" t="str">
        <f>_xlfn.IFS((J187&lt;20),"Need Improvement",(J187=20),"Good",(J187&gt;20),"Very Good",(J187&gt;30),"Excellent")</f>
        <v>Very Good</v>
      </c>
      <c r="Q187" s="40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 x14ac:dyDescent="0.3">
      <c r="A188" s="3" t="s">
        <v>203</v>
      </c>
      <c r="B188" s="3" t="s">
        <v>204</v>
      </c>
      <c r="C188" s="3" t="s">
        <v>25</v>
      </c>
      <c r="D188" s="3" t="s">
        <v>50</v>
      </c>
      <c r="E188" s="4">
        <v>45014</v>
      </c>
      <c r="F188" s="5">
        <v>9</v>
      </c>
      <c r="G188" s="5">
        <v>10</v>
      </c>
      <c r="H188" s="5">
        <v>5</v>
      </c>
      <c r="I188" s="5">
        <v>9</v>
      </c>
      <c r="J188" s="6">
        <f>SUM(F188:I188)</f>
        <v>33</v>
      </c>
      <c r="K188" s="3" t="str">
        <f>IF(J188&gt;=25,"Qualified","Disqualified")</f>
        <v>Qualified</v>
      </c>
      <c r="L188" s="3" t="str">
        <f>IF(NOT(J188=0),"Pass","Fail")</f>
        <v>Pass</v>
      </c>
      <c r="M188" s="3" t="str">
        <f t="array" ref="M188">IF(AND(F188:I188&gt;6,J188&gt;=25),"Pass","Fail")</f>
        <v>Fail</v>
      </c>
      <c r="N188" s="3" t="str">
        <f t="array" ref="N188">IF(OR(F188:I188&gt;6,J188&gt;=25),"Pass","Fail")</f>
        <v>Pass</v>
      </c>
      <c r="O188" s="3">
        <f>COUNTIF(F188:I188,"&gt;6")</f>
        <v>3</v>
      </c>
      <c r="P188" s="3" t="str">
        <f>_xlfn.IFS((J188&lt;20),"Need Improvement",(J188=20),"Good",(J188&gt;20),"Very Good",(J188&gt;30),"Excellent")</f>
        <v>Very Good</v>
      </c>
      <c r="Q188" s="40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 x14ac:dyDescent="0.3">
      <c r="A189" s="3" t="s">
        <v>233</v>
      </c>
      <c r="B189" s="3" t="s">
        <v>234</v>
      </c>
      <c r="C189" s="3" t="s">
        <v>60</v>
      </c>
      <c r="D189" s="3" t="s">
        <v>43</v>
      </c>
      <c r="E189" s="4">
        <v>44897</v>
      </c>
      <c r="F189" s="5">
        <v>6</v>
      </c>
      <c r="G189" s="5">
        <v>10</v>
      </c>
      <c r="H189" s="5">
        <v>10</v>
      </c>
      <c r="I189" s="5">
        <v>7</v>
      </c>
      <c r="J189" s="6">
        <f>SUM(F189:I189)</f>
        <v>33</v>
      </c>
      <c r="K189" s="3" t="str">
        <f>IF(J189&gt;=25,"Qualified","Disqualified")</f>
        <v>Qualified</v>
      </c>
      <c r="L189" s="3" t="str">
        <f>IF(NOT(J189=0),"Pass","Fail")</f>
        <v>Pass</v>
      </c>
      <c r="M189" s="3" t="str">
        <f t="array" ref="M189">IF(AND(F189:I189&gt;6,J189&gt;=25),"Pass","Fail")</f>
        <v>Fail</v>
      </c>
      <c r="N189" s="3" t="str">
        <f t="array" ref="N189">IF(OR(F189:I189&gt;6,J189&gt;=25),"Pass","Fail")</f>
        <v>Pass</v>
      </c>
      <c r="O189" s="3">
        <f>COUNTIF(F189:I189,"&gt;6")</f>
        <v>3</v>
      </c>
      <c r="P189" s="3" t="str">
        <f>_xlfn.IFS((J189&lt;20),"Need Improvement",(J189=20),"Good",(J189&gt;20),"Very Good",(J189&gt;30),"Excellent")</f>
        <v>Very Good</v>
      </c>
      <c r="Q189" s="40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 x14ac:dyDescent="0.3">
      <c r="A190" s="3" t="s">
        <v>255</v>
      </c>
      <c r="B190" s="3" t="s">
        <v>256</v>
      </c>
      <c r="C190" s="3" t="s">
        <v>25</v>
      </c>
      <c r="D190" s="3" t="s">
        <v>129</v>
      </c>
      <c r="E190" s="4">
        <v>44507</v>
      </c>
      <c r="F190" s="5">
        <v>7</v>
      </c>
      <c r="G190" s="5">
        <v>10</v>
      </c>
      <c r="H190" s="5">
        <v>9</v>
      </c>
      <c r="I190" s="5">
        <v>7</v>
      </c>
      <c r="J190" s="6">
        <f>SUM(F190:I190)</f>
        <v>33</v>
      </c>
      <c r="K190" s="3" t="str">
        <f>IF(J190&gt;=25,"Qualified","Disqualified")</f>
        <v>Qualified</v>
      </c>
      <c r="L190" s="3" t="str">
        <f>IF(NOT(J190=0),"Pass","Fail")</f>
        <v>Pass</v>
      </c>
      <c r="M190" s="3" t="str">
        <f t="array" ref="M190">IF(AND(F190:I190&gt;6,J190&gt;=25),"Pass","Fail")</f>
        <v>Pass</v>
      </c>
      <c r="N190" s="3" t="str">
        <f t="array" ref="N190">IF(OR(F190:I190&gt;6,J190&gt;=25),"Pass","Fail")</f>
        <v>Pass</v>
      </c>
      <c r="O190" s="3">
        <f>COUNTIF(F190:I190,"&gt;6")</f>
        <v>4</v>
      </c>
      <c r="P190" s="3" t="str">
        <f>_xlfn.IFS((J190&lt;20),"Need Improvement",(J190=20),"Good",(J190&gt;20),"Very Good",(J190&gt;30),"Excellent")</f>
        <v>Very Good</v>
      </c>
      <c r="Q190" s="40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 x14ac:dyDescent="0.3">
      <c r="A191" s="3" t="s">
        <v>263</v>
      </c>
      <c r="B191" s="3" t="s">
        <v>264</v>
      </c>
      <c r="C191" s="3" t="s">
        <v>136</v>
      </c>
      <c r="D191" s="3" t="s">
        <v>129</v>
      </c>
      <c r="E191" s="4">
        <v>44801</v>
      </c>
      <c r="F191" s="5">
        <v>10</v>
      </c>
      <c r="G191" s="5">
        <v>10</v>
      </c>
      <c r="H191" s="5">
        <v>9</v>
      </c>
      <c r="I191" s="5">
        <v>4</v>
      </c>
      <c r="J191" s="6">
        <f>SUM(F191:I191)</f>
        <v>33</v>
      </c>
      <c r="K191" s="3" t="str">
        <f>IF(J191&gt;=25,"Qualified","Disqualified")</f>
        <v>Qualified</v>
      </c>
      <c r="L191" s="3" t="str">
        <f>IF(NOT(J191=0),"Pass","Fail")</f>
        <v>Pass</v>
      </c>
      <c r="M191" s="3" t="str">
        <f t="array" ref="M191">IF(AND(F191:I191&gt;6,J191&gt;=25),"Pass","Fail")</f>
        <v>Fail</v>
      </c>
      <c r="N191" s="3" t="str">
        <f t="array" ref="N191">IF(OR(F191:I191&gt;6,J191&gt;=25),"Pass","Fail")</f>
        <v>Pass</v>
      </c>
      <c r="O191" s="3">
        <f>COUNTIF(F191:I191,"&gt;6")</f>
        <v>3</v>
      </c>
      <c r="P191" s="3" t="str">
        <f>_xlfn.IFS((J191&lt;20),"Need Improvement",(J191=20),"Good",(J191&gt;20),"Very Good",(J191&gt;30),"Excellent")</f>
        <v>Very Good</v>
      </c>
      <c r="Q191" s="40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 x14ac:dyDescent="0.3">
      <c r="A192" s="3" t="s">
        <v>306</v>
      </c>
      <c r="B192" s="3" t="s">
        <v>307</v>
      </c>
      <c r="C192" s="3" t="s">
        <v>136</v>
      </c>
      <c r="D192" s="3" t="s">
        <v>56</v>
      </c>
      <c r="E192" s="4">
        <v>44361</v>
      </c>
      <c r="F192" s="5">
        <v>6</v>
      </c>
      <c r="G192" s="5">
        <v>7</v>
      </c>
      <c r="H192" s="5">
        <v>10</v>
      </c>
      <c r="I192" s="5">
        <v>10</v>
      </c>
      <c r="J192" s="6">
        <f>SUM(F192:I192)</f>
        <v>33</v>
      </c>
      <c r="K192" s="3" t="str">
        <f>IF(J192&gt;=25,"Qualified","Disqualified")</f>
        <v>Qualified</v>
      </c>
      <c r="L192" s="3" t="str">
        <f>IF(NOT(J192=0),"Pass","Fail")</f>
        <v>Pass</v>
      </c>
      <c r="M192" s="3" t="str">
        <f t="array" ref="M192">IF(AND(F192:I192&gt;6,J192&gt;=25),"Pass","Fail")</f>
        <v>Fail</v>
      </c>
      <c r="N192" s="3" t="str">
        <f t="array" ref="N192">IF(OR(F192:I192&gt;6,J192&gt;=25),"Pass","Fail")</f>
        <v>Pass</v>
      </c>
      <c r="O192" s="3">
        <f>COUNTIF(F192:I192,"&gt;6")</f>
        <v>3</v>
      </c>
      <c r="P192" s="3" t="str">
        <f>_xlfn.IFS((J192&lt;20),"Need Improvement",(J192=20),"Good",(J192&gt;20),"Very Good",(J192&gt;30),"Excellent")</f>
        <v>Very Good</v>
      </c>
      <c r="Q192" s="40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 x14ac:dyDescent="0.3">
      <c r="A193" s="3" t="s">
        <v>384</v>
      </c>
      <c r="B193" s="3" t="s">
        <v>182</v>
      </c>
      <c r="C193" s="3" t="s">
        <v>136</v>
      </c>
      <c r="D193" s="3" t="s">
        <v>96</v>
      </c>
      <c r="E193" s="4">
        <v>44989</v>
      </c>
      <c r="F193" s="5">
        <v>8</v>
      </c>
      <c r="G193" s="5">
        <v>10</v>
      </c>
      <c r="H193" s="5">
        <v>10</v>
      </c>
      <c r="I193" s="5">
        <v>5</v>
      </c>
      <c r="J193" s="6">
        <f>SUM(F193:I193)</f>
        <v>33</v>
      </c>
      <c r="K193" s="3" t="str">
        <f>IF(J193&gt;=25,"Qualified","Disqualified")</f>
        <v>Qualified</v>
      </c>
      <c r="L193" s="3" t="str">
        <f>IF(NOT(J193=0),"Pass","Fail")</f>
        <v>Pass</v>
      </c>
      <c r="M193" s="3" t="str">
        <f t="array" ref="M193">IF(AND(F193:I193&gt;6,J193&gt;=25),"Pass","Fail")</f>
        <v>Fail</v>
      </c>
      <c r="N193" s="3" t="str">
        <f t="array" ref="N193">IF(OR(F193:I193&gt;6,J193&gt;=25),"Pass","Fail")</f>
        <v>Pass</v>
      </c>
      <c r="O193" s="3">
        <f>COUNTIF(F193:I193,"&gt;6")</f>
        <v>3</v>
      </c>
      <c r="P193" s="3" t="str">
        <f>_xlfn.IFS((J193&lt;20),"Need Improvement",(J193=20),"Good",(J193&gt;20),"Very Good",(J193&gt;30),"Excellent")</f>
        <v>Very Good</v>
      </c>
      <c r="Q193" s="40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 x14ac:dyDescent="0.3">
      <c r="A194" s="3" t="s">
        <v>391</v>
      </c>
      <c r="B194" s="3" t="s">
        <v>196</v>
      </c>
      <c r="C194" s="3" t="s">
        <v>60</v>
      </c>
      <c r="D194" s="3" t="s">
        <v>96</v>
      </c>
      <c r="E194" s="4">
        <v>44331</v>
      </c>
      <c r="F194" s="5">
        <v>10</v>
      </c>
      <c r="G194" s="5">
        <v>7</v>
      </c>
      <c r="H194" s="5">
        <v>6</v>
      </c>
      <c r="I194" s="5">
        <v>10</v>
      </c>
      <c r="J194" s="6">
        <f>SUM(F194:I194)</f>
        <v>33</v>
      </c>
      <c r="K194" s="3" t="str">
        <f>IF(J194&gt;=25,"Qualified","Disqualified")</f>
        <v>Qualified</v>
      </c>
      <c r="L194" s="3" t="str">
        <f>IF(NOT(J194=0),"Pass","Fail")</f>
        <v>Pass</v>
      </c>
      <c r="M194" s="3" t="str">
        <f t="array" ref="M194">IF(AND(F194:I194&gt;6,J194&gt;=25),"Pass","Fail")</f>
        <v>Fail</v>
      </c>
      <c r="N194" s="3" t="str">
        <f t="array" ref="N194">IF(OR(F194:I194&gt;6,J194&gt;=25),"Pass","Fail")</f>
        <v>Pass</v>
      </c>
      <c r="O194" s="3">
        <f>COUNTIF(F194:I194,"&gt;6")</f>
        <v>3</v>
      </c>
      <c r="P194" s="3" t="str">
        <f>_xlfn.IFS((J194&lt;20),"Need Improvement",(J194=20),"Good",(J194&gt;20),"Very Good",(J194&gt;30),"Excellent")</f>
        <v>Very Good</v>
      </c>
      <c r="Q194" s="40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 x14ac:dyDescent="0.3">
      <c r="A195" s="3" t="s">
        <v>145</v>
      </c>
      <c r="B195" s="3" t="s">
        <v>146</v>
      </c>
      <c r="C195" s="3" t="s">
        <v>69</v>
      </c>
      <c r="D195" s="3" t="s">
        <v>50</v>
      </c>
      <c r="E195" s="4">
        <v>44489</v>
      </c>
      <c r="F195" s="5">
        <v>9</v>
      </c>
      <c r="G195" s="5">
        <v>7</v>
      </c>
      <c r="H195" s="5">
        <v>9</v>
      </c>
      <c r="I195" s="5">
        <v>9</v>
      </c>
      <c r="J195" s="6">
        <f>SUM(F195:I195)</f>
        <v>34</v>
      </c>
      <c r="K195" s="3" t="str">
        <f>IF(J195&gt;=25,"Qualified","Disqualified")</f>
        <v>Qualified</v>
      </c>
      <c r="L195" s="3" t="str">
        <f>IF(NOT(J195=0),"Pass","Fail")</f>
        <v>Pass</v>
      </c>
      <c r="M195" s="3" t="str">
        <f t="array" ref="M195">IF(AND(F195:I195&gt;6,J195&gt;=25),"Pass","Fail")</f>
        <v>Pass</v>
      </c>
      <c r="N195" s="3" t="str">
        <f t="array" ref="N195">IF(OR(F195:I195&gt;6,J195&gt;=25),"Pass","Fail")</f>
        <v>Pass</v>
      </c>
      <c r="O195" s="3">
        <f>COUNTIF(F195:I195,"&gt;6")</f>
        <v>4</v>
      </c>
      <c r="P195" s="3" t="str">
        <f>_xlfn.IFS((J195&lt;20),"Need Improvement",(J195=20),"Good",(J195&gt;20),"Very Good",(J195&gt;30),"Excellent")</f>
        <v>Very Good</v>
      </c>
      <c r="Q195" s="40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 x14ac:dyDescent="0.3">
      <c r="A196" s="3" t="s">
        <v>155</v>
      </c>
      <c r="B196" s="3" t="s">
        <v>156</v>
      </c>
      <c r="C196" s="3" t="s">
        <v>25</v>
      </c>
      <c r="D196" s="3" t="s">
        <v>26</v>
      </c>
      <c r="E196" s="4">
        <v>44880</v>
      </c>
      <c r="F196" s="5">
        <v>8</v>
      </c>
      <c r="G196" s="5">
        <v>9</v>
      </c>
      <c r="H196" s="5">
        <v>7</v>
      </c>
      <c r="I196" s="5">
        <v>10</v>
      </c>
      <c r="J196" s="6">
        <f>SUM(F196:I196)</f>
        <v>34</v>
      </c>
      <c r="K196" s="3" t="str">
        <f>IF(J196&gt;=25,"Qualified","Disqualified")</f>
        <v>Qualified</v>
      </c>
      <c r="L196" s="3" t="str">
        <f>IF(NOT(J196=0),"Pass","Fail")</f>
        <v>Pass</v>
      </c>
      <c r="M196" s="3" t="str">
        <f t="array" ref="M196">IF(AND(F196:I196&gt;6,J196&gt;=25),"Pass","Fail")</f>
        <v>Pass</v>
      </c>
      <c r="N196" s="3" t="str">
        <f t="array" ref="N196">IF(OR(F196:I196&gt;6,J196&gt;=25),"Pass","Fail")</f>
        <v>Pass</v>
      </c>
      <c r="O196" s="3">
        <f>COUNTIF(F196:I196,"&gt;6")</f>
        <v>4</v>
      </c>
      <c r="P196" s="3" t="str">
        <f>_xlfn.IFS((J196&lt;20),"Need Improvement",(J196=20),"Good",(J196&gt;20),"Very Good",(J196&gt;30),"Excellent")</f>
        <v>Very Good</v>
      </c>
      <c r="Q196" s="40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 x14ac:dyDescent="0.3">
      <c r="A197" s="3" t="s">
        <v>237</v>
      </c>
      <c r="B197" s="3" t="s">
        <v>238</v>
      </c>
      <c r="C197" s="3" t="s">
        <v>60</v>
      </c>
      <c r="D197" s="3" t="s">
        <v>50</v>
      </c>
      <c r="E197" s="4">
        <v>44951</v>
      </c>
      <c r="F197" s="5">
        <v>10</v>
      </c>
      <c r="G197" s="5">
        <v>10</v>
      </c>
      <c r="H197" s="5">
        <v>9</v>
      </c>
      <c r="I197" s="5">
        <v>5</v>
      </c>
      <c r="J197" s="6">
        <f>SUM(F197:I197)</f>
        <v>34</v>
      </c>
      <c r="K197" s="3" t="str">
        <f>IF(J197&gt;=25,"Qualified","Disqualified")</f>
        <v>Qualified</v>
      </c>
      <c r="L197" s="3" t="str">
        <f>IF(NOT(J197=0),"Pass","Fail")</f>
        <v>Pass</v>
      </c>
      <c r="M197" s="3" t="str">
        <f t="array" ref="M197">IF(AND(F197:I197&gt;6,J197&gt;=25),"Pass","Fail")</f>
        <v>Fail</v>
      </c>
      <c r="N197" s="3" t="str">
        <f t="array" ref="N197">IF(OR(F197:I197&gt;6,J197&gt;=25),"Pass","Fail")</f>
        <v>Pass</v>
      </c>
      <c r="O197" s="3">
        <f>COUNTIF(F197:I197,"&gt;6")</f>
        <v>3</v>
      </c>
      <c r="P197" s="3" t="str">
        <f>_xlfn.IFS((J197&lt;20),"Need Improvement",(J197=20),"Good",(J197&gt;20),"Very Good",(J197&gt;30),"Excellent")</f>
        <v>Very Good</v>
      </c>
      <c r="Q197" s="40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 x14ac:dyDescent="0.3">
      <c r="A198" s="3" t="s">
        <v>251</v>
      </c>
      <c r="B198" s="3" t="s">
        <v>252</v>
      </c>
      <c r="C198" s="3" t="s">
        <v>25</v>
      </c>
      <c r="D198" s="3" t="s">
        <v>129</v>
      </c>
      <c r="E198" s="4">
        <v>44829</v>
      </c>
      <c r="F198" s="5">
        <v>9</v>
      </c>
      <c r="G198" s="5">
        <v>10</v>
      </c>
      <c r="H198" s="5">
        <v>5</v>
      </c>
      <c r="I198" s="5">
        <v>10</v>
      </c>
      <c r="J198" s="6">
        <f>SUM(F198:I198)</f>
        <v>34</v>
      </c>
      <c r="K198" s="3" t="str">
        <f>IF(J198&gt;=25,"Qualified","Disqualified")</f>
        <v>Qualified</v>
      </c>
      <c r="L198" s="3" t="str">
        <f>IF(NOT(J198=0),"Pass","Fail")</f>
        <v>Pass</v>
      </c>
      <c r="M198" s="3" t="str">
        <f t="array" ref="M198">IF(AND(F198:I198&gt;6,J198&gt;=25),"Pass","Fail")</f>
        <v>Fail</v>
      </c>
      <c r="N198" s="3" t="str">
        <f t="array" ref="N198">IF(OR(F198:I198&gt;6,J198&gt;=25),"Pass","Fail")</f>
        <v>Pass</v>
      </c>
      <c r="O198" s="3">
        <f>COUNTIF(F198:I198,"&gt;6")</f>
        <v>3</v>
      </c>
      <c r="P198" s="3" t="str">
        <f>_xlfn.IFS((J198&lt;20),"Need Improvement",(J198=20),"Good",(J198&gt;20),"Very Good",(J198&gt;30),"Excellent")</f>
        <v>Very Good</v>
      </c>
      <c r="Q198" s="40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 x14ac:dyDescent="0.3">
      <c r="A199" s="3" t="s">
        <v>273</v>
      </c>
      <c r="B199" s="3" t="s">
        <v>274</v>
      </c>
      <c r="C199" s="3" t="s">
        <v>69</v>
      </c>
      <c r="D199" s="3" t="s">
        <v>129</v>
      </c>
      <c r="E199" s="4">
        <v>44976</v>
      </c>
      <c r="F199" s="5">
        <v>9</v>
      </c>
      <c r="G199" s="5">
        <v>8</v>
      </c>
      <c r="H199" s="5">
        <v>8</v>
      </c>
      <c r="I199" s="5">
        <v>9</v>
      </c>
      <c r="J199" s="6">
        <f>SUM(F199:I199)</f>
        <v>34</v>
      </c>
      <c r="K199" s="3" t="str">
        <f>IF(J199&gt;=25,"Qualified","Disqualified")</f>
        <v>Qualified</v>
      </c>
      <c r="L199" s="3" t="str">
        <f>IF(NOT(J199=0),"Pass","Fail")</f>
        <v>Pass</v>
      </c>
      <c r="M199" s="3" t="str">
        <f t="array" ref="M199">IF(AND(F199:I199&gt;6,J199&gt;=25),"Pass","Fail")</f>
        <v>Pass</v>
      </c>
      <c r="N199" s="3" t="str">
        <f t="array" ref="N199">IF(OR(F199:I199&gt;6,J199&gt;=25),"Pass","Fail")</f>
        <v>Pass</v>
      </c>
      <c r="O199" s="3">
        <f>COUNTIF(F199:I199,"&gt;6")</f>
        <v>4</v>
      </c>
      <c r="P199" s="3" t="str">
        <f>_xlfn.IFS((J199&lt;20),"Need Improvement",(J199=20),"Good",(J199&gt;20),"Very Good",(J199&gt;30),"Excellent")</f>
        <v>Very Good</v>
      </c>
      <c r="Q199" s="40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 x14ac:dyDescent="0.3">
      <c r="A200" s="3" t="s">
        <v>275</v>
      </c>
      <c r="B200" s="3" t="s">
        <v>276</v>
      </c>
      <c r="C200" s="3" t="s">
        <v>60</v>
      </c>
      <c r="D200" s="3" t="s">
        <v>56</v>
      </c>
      <c r="E200" s="4">
        <v>45012</v>
      </c>
      <c r="F200" s="5">
        <v>7</v>
      </c>
      <c r="G200" s="5">
        <v>10</v>
      </c>
      <c r="H200" s="5">
        <v>7</v>
      </c>
      <c r="I200" s="5">
        <v>10</v>
      </c>
      <c r="J200" s="6">
        <f>SUM(F200:I200)</f>
        <v>34</v>
      </c>
      <c r="K200" s="3" t="str">
        <f>IF(J200&gt;=25,"Qualified","Disqualified")</f>
        <v>Qualified</v>
      </c>
      <c r="L200" s="3" t="str">
        <f>IF(NOT(J200=0),"Pass","Fail")</f>
        <v>Pass</v>
      </c>
      <c r="M200" s="3" t="str">
        <f t="array" ref="M200">IF(AND(F200:I200&gt;6,J200&gt;=25),"Pass","Fail")</f>
        <v>Pass</v>
      </c>
      <c r="N200" s="3" t="str">
        <f t="array" ref="N200">IF(OR(F200:I200&gt;6,J200&gt;=25),"Pass","Fail")</f>
        <v>Pass</v>
      </c>
      <c r="O200" s="3">
        <f>COUNTIF(F200:I200,"&gt;6")</f>
        <v>4</v>
      </c>
      <c r="P200" s="3" t="str">
        <f>_xlfn.IFS((J200&lt;20),"Need Improvement",(J200=20),"Good",(J200&gt;20),"Very Good",(J200&gt;30),"Excellent")</f>
        <v>Very Good</v>
      </c>
      <c r="Q200" s="40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 x14ac:dyDescent="0.3">
      <c r="A201" s="3" t="s">
        <v>403</v>
      </c>
      <c r="B201" s="3" t="s">
        <v>220</v>
      </c>
      <c r="C201" s="3" t="s">
        <v>25</v>
      </c>
      <c r="D201" s="3" t="s">
        <v>43</v>
      </c>
      <c r="E201" s="4">
        <v>44624</v>
      </c>
      <c r="F201" s="5">
        <v>10</v>
      </c>
      <c r="G201" s="5">
        <v>8</v>
      </c>
      <c r="H201" s="5">
        <v>9</v>
      </c>
      <c r="I201" s="5">
        <v>7</v>
      </c>
      <c r="J201" s="6">
        <f>SUM(F201:I201)</f>
        <v>34</v>
      </c>
      <c r="K201" s="3" t="str">
        <f>IF(J201&gt;=25,"Qualified","Disqualified")</f>
        <v>Qualified</v>
      </c>
      <c r="L201" s="3" t="str">
        <f>IF(NOT(J201=0),"Pass","Fail")</f>
        <v>Pass</v>
      </c>
      <c r="M201" s="3" t="str">
        <f t="array" ref="M201">IF(AND(F201:I201&gt;6,J201&gt;=25),"Pass","Fail")</f>
        <v>Pass</v>
      </c>
      <c r="N201" s="3" t="str">
        <f t="array" ref="N201">IF(OR(F201:I201&gt;6,J201&gt;=25),"Pass","Fail")</f>
        <v>Pass</v>
      </c>
      <c r="O201" s="3">
        <f>COUNTIF(F201:I201,"&gt;6")</f>
        <v>4</v>
      </c>
      <c r="P201" s="3" t="str">
        <f>_xlfn.IFS((J201&lt;20),"Need Improvement",(J201=20),"Good",(J201&gt;20),"Very Good",(J201&gt;30),"Excellent")</f>
        <v>Very Good</v>
      </c>
      <c r="Q201" s="40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 x14ac:dyDescent="0.3">
      <c r="A202" s="3" t="s">
        <v>127</v>
      </c>
      <c r="B202" s="3" t="s">
        <v>128</v>
      </c>
      <c r="C202" s="3" t="s">
        <v>90</v>
      </c>
      <c r="D202" s="3" t="s">
        <v>129</v>
      </c>
      <c r="E202" s="4">
        <v>44682</v>
      </c>
      <c r="F202" s="5">
        <v>10</v>
      </c>
      <c r="G202" s="5">
        <v>8</v>
      </c>
      <c r="H202" s="5">
        <v>10</v>
      </c>
      <c r="I202" s="5">
        <v>7</v>
      </c>
      <c r="J202" s="6">
        <f>SUM(F202:I202)</f>
        <v>35</v>
      </c>
      <c r="K202" s="3" t="str">
        <f>IF(J202&gt;=25,"Qualified","Disqualified")</f>
        <v>Qualified</v>
      </c>
      <c r="L202" s="3" t="str">
        <f>IF(NOT(J202=0),"Pass","Fail")</f>
        <v>Pass</v>
      </c>
      <c r="M202" s="3" t="str">
        <f t="array" ref="M202">IF(AND(F202:I202&gt;6,J202&gt;=25),"Pass","Fail")</f>
        <v>Pass</v>
      </c>
      <c r="N202" s="3" t="str">
        <f t="array" ref="N202">IF(OR(F202:I202&gt;6,J202&gt;=25),"Pass","Fail")</f>
        <v>Pass</v>
      </c>
      <c r="O202" s="3">
        <f>COUNTIF(F202:I202,"&gt;6")</f>
        <v>4</v>
      </c>
      <c r="P202" s="3" t="str">
        <f>_xlfn.IFS((J202&lt;20),"Need Improvement",(J202=20),"Good",(J202&gt;20),"Very Good",(J202&gt;30),"Excellent")</f>
        <v>Very Good</v>
      </c>
      <c r="Q202" s="40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 x14ac:dyDescent="0.3">
      <c r="A203" s="3" t="s">
        <v>257</v>
      </c>
      <c r="B203" s="3" t="s">
        <v>258</v>
      </c>
      <c r="C203" s="3" t="s">
        <v>25</v>
      </c>
      <c r="D203" s="3" t="s">
        <v>56</v>
      </c>
      <c r="E203" s="4">
        <v>44676</v>
      </c>
      <c r="F203" s="5">
        <v>8</v>
      </c>
      <c r="G203" s="5">
        <v>10</v>
      </c>
      <c r="H203" s="5">
        <v>10</v>
      </c>
      <c r="I203" s="5">
        <v>7</v>
      </c>
      <c r="J203" s="6">
        <f>SUM(F203:I203)</f>
        <v>35</v>
      </c>
      <c r="K203" s="3" t="str">
        <f>IF(J203&gt;=25,"Qualified","Disqualified")</f>
        <v>Qualified</v>
      </c>
      <c r="L203" s="3" t="str">
        <f>IF(NOT(J203=0),"Pass","Fail")</f>
        <v>Pass</v>
      </c>
      <c r="M203" s="3" t="str">
        <f t="array" ref="M203">IF(AND(F203:I203&gt;6,J203&gt;=25),"Pass","Fail")</f>
        <v>Pass</v>
      </c>
      <c r="N203" s="3" t="str">
        <f t="array" ref="N203">IF(OR(F203:I203&gt;6,J203&gt;=25),"Pass","Fail")</f>
        <v>Pass</v>
      </c>
      <c r="O203" s="3">
        <f>COUNTIF(F203:I203,"&gt;6")</f>
        <v>4</v>
      </c>
      <c r="P203" s="3" t="str">
        <f>_xlfn.IFS((J203&lt;20),"Need Improvement",(J203=20),"Good",(J203&gt;20),"Very Good",(J203&gt;30),"Excellent")</f>
        <v>Very Good</v>
      </c>
      <c r="Q203" s="40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 x14ac:dyDescent="0.3">
      <c r="A204" s="3" t="s">
        <v>265</v>
      </c>
      <c r="B204" s="3" t="s">
        <v>266</v>
      </c>
      <c r="C204" s="3" t="s">
        <v>136</v>
      </c>
      <c r="D204" s="3" t="s">
        <v>43</v>
      </c>
      <c r="E204" s="4">
        <v>44960</v>
      </c>
      <c r="F204" s="5">
        <v>10</v>
      </c>
      <c r="G204" s="5">
        <v>10</v>
      </c>
      <c r="H204" s="5">
        <v>9</v>
      </c>
      <c r="I204" s="5">
        <v>6</v>
      </c>
      <c r="J204" s="6">
        <f>SUM(F204:I204)</f>
        <v>35</v>
      </c>
      <c r="K204" s="3" t="str">
        <f>IF(J204&gt;=25,"Qualified","Disqualified")</f>
        <v>Qualified</v>
      </c>
      <c r="L204" s="3" t="str">
        <f>IF(NOT(J204=0),"Pass","Fail")</f>
        <v>Pass</v>
      </c>
      <c r="M204" s="3" t="str">
        <f t="array" ref="M204">IF(AND(F204:I204&gt;6,J204&gt;=25),"Pass","Fail")</f>
        <v>Fail</v>
      </c>
      <c r="N204" s="3" t="str">
        <f t="array" ref="N204">IF(OR(F204:I204&gt;6,J204&gt;=25),"Pass","Fail")</f>
        <v>Pass</v>
      </c>
      <c r="O204" s="3">
        <f>COUNTIF(F204:I204,"&gt;6")</f>
        <v>3</v>
      </c>
      <c r="P204" s="3" t="str">
        <f>_xlfn.IFS((J204&lt;20),"Need Improvement",(J204=20),"Good",(J204&gt;20),"Very Good",(J204&gt;30),"Excellent")</f>
        <v>Very Good</v>
      </c>
      <c r="Q204" s="40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 x14ac:dyDescent="0.3">
      <c r="A205" s="3" t="s">
        <v>372</v>
      </c>
      <c r="B205" s="3" t="s">
        <v>373</v>
      </c>
      <c r="C205" s="3" t="s">
        <v>25</v>
      </c>
      <c r="D205" s="3" t="s">
        <v>43</v>
      </c>
      <c r="E205" s="4">
        <v>44792</v>
      </c>
      <c r="F205" s="5">
        <v>7</v>
      </c>
      <c r="G205" s="5">
        <v>9</v>
      </c>
      <c r="H205" s="5">
        <v>9</v>
      </c>
      <c r="I205" s="5">
        <v>10</v>
      </c>
      <c r="J205" s="6">
        <f>SUM(F205:I205)</f>
        <v>35</v>
      </c>
      <c r="K205" s="3" t="str">
        <f>IF(J205&gt;=25,"Qualified","Disqualified")</f>
        <v>Qualified</v>
      </c>
      <c r="L205" s="3" t="str">
        <f>IF(NOT(J205=0),"Pass","Fail")</f>
        <v>Pass</v>
      </c>
      <c r="M205" s="3" t="str">
        <f t="array" ref="M205">IF(AND(F205:I205&gt;6,J205&gt;=25),"Pass","Fail")</f>
        <v>Pass</v>
      </c>
      <c r="N205" s="3" t="str">
        <f t="array" ref="N205">IF(OR(F205:I205&gt;6,J205&gt;=25),"Pass","Fail")</f>
        <v>Pass</v>
      </c>
      <c r="O205" s="3">
        <f>COUNTIF(F205:I205,"&gt;6")</f>
        <v>4</v>
      </c>
      <c r="P205" s="3" t="str">
        <f>_xlfn.IFS((J205&lt;20),"Need Improvement",(J205=20),"Good",(J205&gt;20),"Very Good",(J205&gt;30),"Excellent")</f>
        <v>Very Good</v>
      </c>
      <c r="Q205" s="40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 x14ac:dyDescent="0.3">
      <c r="A206" s="3" t="s">
        <v>413</v>
      </c>
      <c r="B206" s="3" t="s">
        <v>240</v>
      </c>
      <c r="C206" s="3" t="s">
        <v>60</v>
      </c>
      <c r="D206" s="3" t="s">
        <v>96</v>
      </c>
      <c r="E206" s="4">
        <v>44702</v>
      </c>
      <c r="F206" s="5">
        <v>10</v>
      </c>
      <c r="G206" s="5">
        <v>5</v>
      </c>
      <c r="H206" s="5">
        <v>10</v>
      </c>
      <c r="I206" s="5">
        <v>10</v>
      </c>
      <c r="J206" s="6">
        <f>SUM(F206:I206)</f>
        <v>35</v>
      </c>
      <c r="K206" s="3" t="str">
        <f>IF(J206&gt;=25,"Qualified","Disqualified")</f>
        <v>Qualified</v>
      </c>
      <c r="L206" s="3" t="str">
        <f>IF(NOT(J206=0),"Pass","Fail")</f>
        <v>Pass</v>
      </c>
      <c r="M206" s="3" t="str">
        <f t="array" ref="M206">IF(AND(F206:I206&gt;6,J206&gt;=25),"Pass","Fail")</f>
        <v>Fail</v>
      </c>
      <c r="N206" s="3" t="str">
        <f t="array" ref="N206">IF(OR(F206:I206&gt;6,J206&gt;=25),"Pass","Fail")</f>
        <v>Pass</v>
      </c>
      <c r="O206" s="3">
        <f>COUNTIF(F206:I206,"&gt;6")</f>
        <v>3</v>
      </c>
      <c r="P206" s="3" t="str">
        <f>_xlfn.IFS((J206&lt;20),"Need Improvement",(J206=20),"Good",(J206&gt;20),"Very Good",(J206&gt;30),"Excellent")</f>
        <v>Very Good</v>
      </c>
      <c r="Q206" s="40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 x14ac:dyDescent="0.3">
      <c r="A207" s="3" t="s">
        <v>221</v>
      </c>
      <c r="B207" s="3" t="s">
        <v>222</v>
      </c>
      <c r="C207" s="3" t="s">
        <v>136</v>
      </c>
      <c r="D207" s="3" t="s">
        <v>31</v>
      </c>
      <c r="E207" s="4">
        <v>44392</v>
      </c>
      <c r="F207" s="5">
        <v>6</v>
      </c>
      <c r="G207" s="5">
        <v>10</v>
      </c>
      <c r="H207" s="5">
        <v>10</v>
      </c>
      <c r="I207" s="5">
        <v>10</v>
      </c>
      <c r="J207" s="6">
        <f>SUM(F207:I207)</f>
        <v>36</v>
      </c>
      <c r="K207" s="3" t="str">
        <f>IF(J207&gt;=25,"Qualified","Disqualified")</f>
        <v>Qualified</v>
      </c>
      <c r="L207" s="3" t="str">
        <f>IF(NOT(J207=0),"Pass","Fail")</f>
        <v>Pass</v>
      </c>
      <c r="M207" s="3" t="str">
        <f t="array" ref="M207">IF(AND(F207:I207&gt;6,J207&gt;=25),"Pass","Fail")</f>
        <v>Fail</v>
      </c>
      <c r="N207" s="3" t="str">
        <f t="array" ref="N207">IF(OR(F207:I207&gt;6,J207&gt;=25),"Pass","Fail")</f>
        <v>Pass</v>
      </c>
      <c r="O207" s="3">
        <f>COUNTIF(F207:I207,"&gt;6")</f>
        <v>3</v>
      </c>
      <c r="P207" s="3" t="str">
        <f>_xlfn.IFS((J207&lt;20),"Need Improvement",(J207=20),"Good",(J207&gt;20),"Very Good",(J207&gt;30),"Excellent")</f>
        <v>Very Good</v>
      </c>
      <c r="Q207" s="40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 x14ac:dyDescent="0.3">
      <c r="A208" s="3" t="s">
        <v>235</v>
      </c>
      <c r="B208" s="3" t="s">
        <v>236</v>
      </c>
      <c r="C208" s="3" t="s">
        <v>60</v>
      </c>
      <c r="D208" s="3" t="s">
        <v>96</v>
      </c>
      <c r="E208" s="4">
        <v>44485</v>
      </c>
      <c r="F208" s="5">
        <v>8</v>
      </c>
      <c r="G208" s="5">
        <v>9</v>
      </c>
      <c r="H208" s="5">
        <v>9</v>
      </c>
      <c r="I208" s="5">
        <v>10</v>
      </c>
      <c r="J208" s="6">
        <f>SUM(F208:I208)</f>
        <v>36</v>
      </c>
      <c r="K208" s="3" t="str">
        <f>IF(J208&gt;=25,"Qualified","Disqualified")</f>
        <v>Qualified</v>
      </c>
      <c r="L208" s="3" t="str">
        <f>IF(NOT(J208=0),"Pass","Fail")</f>
        <v>Pass</v>
      </c>
      <c r="M208" s="3" t="str">
        <f t="array" ref="M208">IF(AND(F208:I208&gt;6,J208&gt;=25),"Pass","Fail")</f>
        <v>Pass</v>
      </c>
      <c r="N208" s="3" t="str">
        <f t="array" ref="N208">IF(OR(F208:I208&gt;6,J208&gt;=25),"Pass","Fail")</f>
        <v>Pass</v>
      </c>
      <c r="O208" s="3">
        <f>COUNTIF(F208:I208,"&gt;6")</f>
        <v>4</v>
      </c>
      <c r="P208" s="3" t="str">
        <f>_xlfn.IFS((J208&lt;20),"Need Improvement",(J208=20),"Good",(J208&gt;20),"Very Good",(J208&gt;30),"Excellent")</f>
        <v>Very Good</v>
      </c>
      <c r="Q208" s="40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 x14ac:dyDescent="0.3">
      <c r="A209" s="3" t="s">
        <v>279</v>
      </c>
      <c r="B209" s="3" t="s">
        <v>146</v>
      </c>
      <c r="C209" s="3" t="s">
        <v>60</v>
      </c>
      <c r="D209" s="3" t="s">
        <v>31</v>
      </c>
      <c r="E209" s="4">
        <v>45015</v>
      </c>
      <c r="F209" s="5">
        <v>9</v>
      </c>
      <c r="G209" s="5">
        <v>10</v>
      </c>
      <c r="H209" s="5">
        <v>10</v>
      </c>
      <c r="I209" s="5">
        <v>7</v>
      </c>
      <c r="J209" s="6">
        <f>SUM(F209:I209)</f>
        <v>36</v>
      </c>
      <c r="K209" s="3" t="str">
        <f>IF(J209&gt;=25,"Qualified","Disqualified")</f>
        <v>Qualified</v>
      </c>
      <c r="L209" s="3" t="str">
        <f>IF(NOT(J209=0),"Pass","Fail")</f>
        <v>Pass</v>
      </c>
      <c r="M209" s="3" t="str">
        <f t="array" ref="M209">IF(AND(F209:I209&gt;6,J209&gt;=25),"Pass","Fail")</f>
        <v>Pass</v>
      </c>
      <c r="N209" s="3" t="str">
        <f t="array" ref="N209">IF(OR(F209:I209&gt;6,J209&gt;=25),"Pass","Fail")</f>
        <v>Pass</v>
      </c>
      <c r="O209" s="3">
        <f>COUNTIF(F209:I209,"&gt;6")</f>
        <v>4</v>
      </c>
      <c r="P209" s="3" t="str">
        <f>_xlfn.IFS((J209&lt;20),"Need Improvement",(J209=20),"Good",(J209&gt;20),"Very Good",(J209&gt;30),"Excellent")</f>
        <v>Very Good</v>
      </c>
      <c r="Q209" s="40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 x14ac:dyDescent="0.3">
      <c r="A210" s="3" t="s">
        <v>354</v>
      </c>
      <c r="B210" s="3" t="s">
        <v>355</v>
      </c>
      <c r="C210" s="3" t="s">
        <v>69</v>
      </c>
      <c r="D210" s="3" t="s">
        <v>56</v>
      </c>
      <c r="E210" s="4">
        <v>44501</v>
      </c>
      <c r="F210" s="5">
        <v>9</v>
      </c>
      <c r="G210" s="5">
        <v>10</v>
      </c>
      <c r="H210" s="5">
        <v>9</v>
      </c>
      <c r="I210" s="5">
        <v>8</v>
      </c>
      <c r="J210" s="6">
        <f>SUM(F210:I210)</f>
        <v>36</v>
      </c>
      <c r="K210" s="3" t="str">
        <f>IF(J210&gt;=25,"Qualified","Disqualified")</f>
        <v>Qualified</v>
      </c>
      <c r="L210" s="3" t="str">
        <f>IF(NOT(J210=0),"Pass","Fail")</f>
        <v>Pass</v>
      </c>
      <c r="M210" s="3" t="str">
        <f t="array" ref="M210">IF(AND(F210:I210&gt;6,J210&gt;=25),"Pass","Fail")</f>
        <v>Pass</v>
      </c>
      <c r="N210" s="3" t="str">
        <f t="array" ref="N210">IF(OR(F210:I210&gt;6,J210&gt;=25),"Pass","Fail")</f>
        <v>Pass</v>
      </c>
      <c r="O210" s="3">
        <f>COUNTIF(F210:I210,"&gt;6")</f>
        <v>4</v>
      </c>
      <c r="P210" s="3" t="str">
        <f>_xlfn.IFS((J210&lt;20),"Need Improvement",(J210=20),"Good",(J210&gt;20),"Very Good",(J210&gt;30),"Excellent")</f>
        <v>Very Good</v>
      </c>
      <c r="Q210" s="40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 x14ac:dyDescent="0.3">
      <c r="A211" s="3" t="s">
        <v>417</v>
      </c>
      <c r="B211" s="3" t="s">
        <v>248</v>
      </c>
      <c r="C211" s="3" t="s">
        <v>25</v>
      </c>
      <c r="D211" s="3" t="s">
        <v>96</v>
      </c>
      <c r="E211" s="4">
        <v>44891</v>
      </c>
      <c r="F211" s="5">
        <v>8</v>
      </c>
      <c r="G211" s="5">
        <v>9</v>
      </c>
      <c r="H211" s="5">
        <v>9</v>
      </c>
      <c r="I211" s="5">
        <v>10</v>
      </c>
      <c r="J211" s="6">
        <f>SUM(F211:I211)</f>
        <v>36</v>
      </c>
      <c r="K211" s="3" t="str">
        <f>IF(J211&gt;=25,"Qualified","Disqualified")</f>
        <v>Qualified</v>
      </c>
      <c r="L211" s="3" t="str">
        <f>IF(NOT(J211=0),"Pass","Fail")</f>
        <v>Pass</v>
      </c>
      <c r="M211" s="3" t="str">
        <f t="array" ref="M211">IF(AND(F211:I211&gt;6,J211&gt;=25),"Pass","Fail")</f>
        <v>Pass</v>
      </c>
      <c r="N211" s="3" t="str">
        <f t="array" ref="N211">IF(OR(F211:I211&gt;6,J211&gt;=25),"Pass","Fail")</f>
        <v>Pass</v>
      </c>
      <c r="O211" s="3">
        <f>COUNTIF(F211:I211,"&gt;6")</f>
        <v>4</v>
      </c>
      <c r="P211" s="3" t="str">
        <f>_xlfn.IFS((J211&lt;20),"Need Improvement",(J211=20),"Good",(J211&gt;20),"Very Good",(J211&gt;30),"Excellent")</f>
        <v>Very Good</v>
      </c>
      <c r="Q211" s="40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 x14ac:dyDescent="0.3">
      <c r="A212" s="3" t="s">
        <v>385</v>
      </c>
      <c r="B212" s="3" t="s">
        <v>184</v>
      </c>
      <c r="C212" s="3" t="s">
        <v>136</v>
      </c>
      <c r="D212" s="3" t="s">
        <v>26</v>
      </c>
      <c r="E212" s="4">
        <v>44397</v>
      </c>
      <c r="F212" s="5">
        <v>10</v>
      </c>
      <c r="G212" s="5">
        <v>10</v>
      </c>
      <c r="H212" s="5">
        <v>8</v>
      </c>
      <c r="I212" s="5">
        <v>9</v>
      </c>
      <c r="J212" s="6">
        <f>SUM(F212:I212)</f>
        <v>37</v>
      </c>
      <c r="K212" s="3" t="str">
        <f>IF(J212&gt;=25,"Qualified","Disqualified")</f>
        <v>Qualified</v>
      </c>
      <c r="L212" s="3" t="str">
        <f>IF(NOT(J212=0),"Pass","Fail")</f>
        <v>Pass</v>
      </c>
      <c r="M212" s="3" t="str">
        <f t="array" ref="M212">IF(AND(F212:I212&gt;6,J212&gt;=25),"Pass","Fail")</f>
        <v>Pass</v>
      </c>
      <c r="N212" s="3" t="str">
        <f t="array" ref="N212">IF(OR(F212:I212&gt;6,J212&gt;=25),"Pass","Fail")</f>
        <v>Pass</v>
      </c>
      <c r="O212" s="3">
        <f>COUNTIF(F212:I212,"&gt;6")</f>
        <v>4</v>
      </c>
      <c r="P212" s="3" t="str">
        <f>_xlfn.IFS((J212&lt;20),"Need Improvement",(J212=20),"Good",(J212&gt;20),"Very Good",(J212&gt;30),"Excellent")</f>
        <v>Very Good</v>
      </c>
      <c r="Q212" s="40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 x14ac:dyDescent="0.3">
      <c r="A213" s="3" t="s">
        <v>62</v>
      </c>
      <c r="B213" s="3" t="s">
        <v>63</v>
      </c>
      <c r="C213" s="3" t="s">
        <v>60</v>
      </c>
      <c r="D213" s="3" t="s">
        <v>26</v>
      </c>
      <c r="E213" s="4">
        <v>44425</v>
      </c>
      <c r="F213" s="5">
        <v>10</v>
      </c>
      <c r="G213" s="5">
        <v>9</v>
      </c>
      <c r="H213" s="5">
        <v>9</v>
      </c>
      <c r="I213" s="5">
        <v>10</v>
      </c>
      <c r="J213" s="6">
        <f>SUM(F213:I213)</f>
        <v>38</v>
      </c>
      <c r="K213" s="3" t="str">
        <f>IF(J213&gt;=25,"Qualified","Disqualified")</f>
        <v>Qualified</v>
      </c>
      <c r="L213" s="3" t="str">
        <f>IF(NOT(J213=0),"Pass","Fail")</f>
        <v>Pass</v>
      </c>
      <c r="M213" s="3" t="str">
        <f t="array" ref="M213">IF(AND(F213:I213&gt;6,J213&gt;=25),"Pass","Fail")</f>
        <v>Pass</v>
      </c>
      <c r="N213" s="3" t="str">
        <f t="array" ref="N213">IF(OR(F213:I213&gt;6,J213&gt;=25),"Pass","Fail")</f>
        <v>Pass</v>
      </c>
      <c r="O213" s="3">
        <f>COUNTIF(F213:I213,"&gt;6")</f>
        <v>4</v>
      </c>
      <c r="P213" s="3" t="str">
        <f>_xlfn.IFS((J213&lt;20),"Need Improvement",(J213=20),"Good",(J213&gt;20),"Very Good",(J213&gt;30),"Excellent")</f>
        <v>Very Good</v>
      </c>
      <c r="Q213" s="40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 x14ac:dyDescent="0.3">
      <c r="A214" s="3" t="s">
        <v>93</v>
      </c>
      <c r="B214" s="3" t="s">
        <v>94</v>
      </c>
      <c r="C214" s="3" t="s">
        <v>90</v>
      </c>
      <c r="D214" s="3" t="s">
        <v>43</v>
      </c>
      <c r="E214" s="4">
        <v>44743</v>
      </c>
      <c r="F214" s="5">
        <v>10</v>
      </c>
      <c r="G214" s="5">
        <v>10</v>
      </c>
      <c r="H214" s="5">
        <v>8</v>
      </c>
      <c r="I214" s="5">
        <v>10</v>
      </c>
      <c r="J214" s="6">
        <f>SUM(F214:I214)</f>
        <v>38</v>
      </c>
      <c r="K214" s="3" t="str">
        <f>IF(J214&gt;=25,"Qualified","Disqualified")</f>
        <v>Qualified</v>
      </c>
      <c r="L214" s="3" t="str">
        <f>IF(NOT(J214=0),"Pass","Fail")</f>
        <v>Pass</v>
      </c>
      <c r="M214" s="3" t="str">
        <f t="array" ref="M214">IF(AND(F214:I214&gt;6,J214&gt;=25),"Pass","Fail")</f>
        <v>Pass</v>
      </c>
      <c r="N214" s="3" t="str">
        <f t="array" ref="N214">IF(OR(F214:I214&gt;6,J214&gt;=25),"Pass","Fail")</f>
        <v>Pass</v>
      </c>
      <c r="O214" s="3">
        <f>COUNTIF(F214:I214,"&gt;6")</f>
        <v>4</v>
      </c>
      <c r="P214" s="3" t="str">
        <f>_xlfn.IFS((J214&lt;20),"Need Improvement",(J214=20),"Good",(J214&gt;20),"Very Good",(J214&gt;30),"Excellent")</f>
        <v>Very Good</v>
      </c>
      <c r="Q214" s="40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 x14ac:dyDescent="0.3">
      <c r="A215" s="3" t="s">
        <v>137</v>
      </c>
      <c r="B215" s="3" t="s">
        <v>138</v>
      </c>
      <c r="C215" s="3" t="s">
        <v>136</v>
      </c>
      <c r="D215" s="3" t="s">
        <v>43</v>
      </c>
      <c r="E215" s="4">
        <v>44477</v>
      </c>
      <c r="F215" s="5">
        <v>9</v>
      </c>
      <c r="G215" s="5">
        <v>9</v>
      </c>
      <c r="H215" s="5">
        <v>10</v>
      </c>
      <c r="I215" s="5">
        <v>10</v>
      </c>
      <c r="J215" s="6">
        <f>SUM(F215:I215)</f>
        <v>38</v>
      </c>
      <c r="K215" s="3" t="str">
        <f>IF(J215&gt;=25,"Qualified","Disqualified")</f>
        <v>Qualified</v>
      </c>
      <c r="L215" s="3" t="str">
        <f>IF(NOT(J215=0),"Pass","Fail")</f>
        <v>Pass</v>
      </c>
      <c r="M215" s="3" t="str">
        <f t="array" ref="M215">IF(AND(F215:I215&gt;6,J215&gt;=25),"Pass","Fail")</f>
        <v>Pass</v>
      </c>
      <c r="N215" s="3" t="str">
        <f t="array" ref="N215">IF(OR(F215:I215&gt;6,J215&gt;=25),"Pass","Fail")</f>
        <v>Pass</v>
      </c>
      <c r="O215" s="3">
        <f>COUNTIF(F215:I215,"&gt;6")</f>
        <v>4</v>
      </c>
      <c r="P215" s="3" t="str">
        <f>_xlfn.IFS((J215&lt;20),"Need Improvement",(J215=20),"Good",(J215&gt;20),"Very Good",(J215&gt;30),"Excellent")</f>
        <v>Very Good</v>
      </c>
      <c r="Q215" s="40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 x14ac:dyDescent="0.3">
      <c r="A216" s="3" t="s">
        <v>342</v>
      </c>
      <c r="B216" s="3" t="s">
        <v>343</v>
      </c>
      <c r="C216" s="3" t="s">
        <v>60</v>
      </c>
      <c r="D216" s="3" t="s">
        <v>129</v>
      </c>
      <c r="E216" s="4">
        <v>44465</v>
      </c>
      <c r="F216" s="5">
        <v>9</v>
      </c>
      <c r="G216" s="5">
        <v>10</v>
      </c>
      <c r="H216" s="5">
        <v>10</v>
      </c>
      <c r="I216" s="5">
        <v>10</v>
      </c>
      <c r="J216" s="6">
        <f>SUM(F216:I216)</f>
        <v>39</v>
      </c>
      <c r="K216" s="3" t="str">
        <f>IF(J216&gt;=25,"Qualified","Disqualified")</f>
        <v>Qualified</v>
      </c>
      <c r="L216" s="3" t="str">
        <f>IF(NOT(J216=0),"Pass","Fail")</f>
        <v>Pass</v>
      </c>
      <c r="M216" s="3" t="str">
        <f t="array" ref="M216">IF(AND(F216:I216&gt;6,J216&gt;=25),"Pass","Fail")</f>
        <v>Pass</v>
      </c>
      <c r="N216" s="3" t="str">
        <f t="array" ref="N216">IF(OR(F216:I216&gt;6,J216&gt;=25),"Pass","Fail")</f>
        <v>Pass</v>
      </c>
      <c r="O216" s="3">
        <f>COUNTIF(F216:I216,"&gt;6")</f>
        <v>4</v>
      </c>
      <c r="P216" s="3" t="str">
        <f>_xlfn.IFS((J216&lt;20),"Need Improvement",(J216=20),"Good",(J216&gt;20),"Very Good",(J216&gt;30),"Excellent")</f>
        <v>Very Good</v>
      </c>
      <c r="Q216" s="40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 x14ac:dyDescent="0.3"/>
    <row r="218" spans="1:30" ht="14.25" customHeight="1" x14ac:dyDescent="0.3"/>
    <row r="219" spans="1:30" ht="14.25" customHeight="1" x14ac:dyDescent="0.3"/>
    <row r="220" spans="1:30" ht="14.25" customHeight="1" x14ac:dyDescent="0.3"/>
    <row r="221" spans="1:30" ht="14.25" customHeight="1" x14ac:dyDescent="0.3"/>
    <row r="222" spans="1:30" ht="14.25" customHeight="1" x14ac:dyDescent="0.3"/>
    <row r="223" spans="1:30" ht="14.25" customHeight="1" x14ac:dyDescent="0.3"/>
    <row r="224" spans="1:30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sortState xmlns:xlrd2="http://schemas.microsoft.com/office/spreadsheetml/2017/richdata2" ref="A4:P216">
    <sortCondition ref="J4:J216"/>
  </sortState>
  <mergeCells count="15">
    <mergeCell ref="Y12:AC12"/>
    <mergeCell ref="S15:V15"/>
    <mergeCell ref="S24:V24"/>
    <mergeCell ref="S3:V3"/>
    <mergeCell ref="S4:V4"/>
    <mergeCell ref="S5:V5"/>
    <mergeCell ref="S6:V6"/>
    <mergeCell ref="S7:V7"/>
    <mergeCell ref="S8:V8"/>
    <mergeCell ref="S9:V9"/>
    <mergeCell ref="S10:V10"/>
    <mergeCell ref="S11:V11"/>
    <mergeCell ref="S12:V12"/>
    <mergeCell ref="S13:V13"/>
    <mergeCell ref="S14:V14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Kumar Nishant</dc:creator>
  <cp:lastModifiedBy>shubham gawade</cp:lastModifiedBy>
  <dcterms:created xsi:type="dcterms:W3CDTF">2025-09-29T15:36:08Z</dcterms:created>
  <dcterms:modified xsi:type="dcterms:W3CDTF">2025-11-29T11:52:00Z</dcterms:modified>
</cp:coreProperties>
</file>